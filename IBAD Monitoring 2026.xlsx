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61.10\Public\Public Folders\IBAD-3\7_Statistics\IBAD Production Logs Monitoring\"/>
    </mc:Choice>
  </mc:AlternateContent>
  <xr:revisionPtr revIDLastSave="0" documentId="13_ncr:1_{882923D6-F523-4BA2-B34F-94E511597571}" xr6:coauthVersionLast="47" xr6:coauthVersionMax="47" xr10:uidLastSave="{00000000-0000-0000-0000-000000000000}"/>
  <bookViews>
    <workbookView xWindow="-38520" yWindow="-120" windowWidth="38640" windowHeight="21240" xr2:uid="{BE94FFB3-7453-4984-B489-AD3959BA9301}"/>
  </bookViews>
  <sheets>
    <sheet name="Dep Cycle Time Monitoring" sheetId="1" r:id="rId1"/>
    <sheet name="Effective Working Time" sheetId="6" r:id="rId2"/>
    <sheet name="Total Tape Length per Workweek" sheetId="4" r:id="rId3"/>
    <sheet name="4-March" sheetId="2" r:id="rId4"/>
    <sheet name="work week" sheetId="3" r:id="rId5"/>
    <sheet name="Sheet1" sheetId="5" r:id="rId6"/>
    <sheet name="Detail1" sheetId="9" r:id="rId7"/>
    <sheet name="COUNTS" sheetId="8" r:id="rId8"/>
  </sheets>
  <definedNames>
    <definedName name="_xlnm._FilterDatabase" localSheetId="7" hidden="1">COUNTS!$A$1:$F$408</definedName>
    <definedName name="_xlnm._FilterDatabase" localSheetId="0" hidden="1">'Dep Cycle Time Monitoring'!$A$1:$Y$1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7" i="6" l="1"/>
  <c r="O281" i="6"/>
  <c r="U281" i="6" s="1"/>
  <c r="N281" i="6"/>
  <c r="T281" i="6" s="1"/>
  <c r="T278" i="6"/>
  <c r="U278" i="6"/>
  <c r="S279" i="6"/>
  <c r="T279" i="6"/>
  <c r="U279" i="6"/>
  <c r="S270" i="6"/>
  <c r="T270" i="6"/>
  <c r="U270" i="6"/>
  <c r="V270" i="6"/>
  <c r="S271" i="6"/>
  <c r="T271" i="6"/>
  <c r="U271" i="6"/>
  <c r="V271" i="6"/>
  <c r="S272" i="6"/>
  <c r="T272" i="6"/>
  <c r="U272" i="6"/>
  <c r="V272" i="6"/>
  <c r="S273" i="6"/>
  <c r="T273" i="6"/>
  <c r="U273" i="6"/>
  <c r="V273" i="6"/>
  <c r="S274" i="6"/>
  <c r="T274" i="6"/>
  <c r="U274" i="6"/>
  <c r="V274" i="6"/>
  <c r="S275" i="6"/>
  <c r="T275" i="6"/>
  <c r="U275" i="6"/>
  <c r="AB269" i="6"/>
  <c r="Z269" i="6"/>
  <c r="AA269" i="6"/>
  <c r="AA270" i="6" s="1"/>
  <c r="S283" i="6"/>
  <c r="T283" i="6"/>
  <c r="U283" i="6"/>
  <c r="V283" i="6"/>
  <c r="S284" i="6"/>
  <c r="T284" i="6"/>
  <c r="U284" i="6"/>
  <c r="V284" i="6"/>
  <c r="S285" i="6"/>
  <c r="T285" i="6"/>
  <c r="U285" i="6"/>
  <c r="V285" i="6"/>
  <c r="S286" i="6"/>
  <c r="T286" i="6"/>
  <c r="U286" i="6"/>
  <c r="V286" i="6"/>
  <c r="S287" i="6"/>
  <c r="S288" i="6"/>
  <c r="T288" i="6"/>
  <c r="U288" i="6"/>
  <c r="V288" i="6"/>
  <c r="M283" i="6"/>
  <c r="N283" i="6"/>
  <c r="O283" i="6"/>
  <c r="P283" i="6"/>
  <c r="M284" i="6"/>
  <c r="N284" i="6"/>
  <c r="O284" i="6"/>
  <c r="P284" i="6"/>
  <c r="M285" i="6"/>
  <c r="N285" i="6"/>
  <c r="O285" i="6"/>
  <c r="P285" i="6"/>
  <c r="M286" i="6"/>
  <c r="N286" i="6"/>
  <c r="O286" i="6"/>
  <c r="P286" i="6"/>
  <c r="M287" i="6"/>
  <c r="N287" i="6"/>
  <c r="O287" i="6"/>
  <c r="U287" i="6" s="1"/>
  <c r="V287" i="6"/>
  <c r="M288" i="6"/>
  <c r="N288" i="6"/>
  <c r="O288" i="6"/>
  <c r="P288" i="6"/>
  <c r="M289" i="6"/>
  <c r="S289" i="6" s="1"/>
  <c r="N289" i="6"/>
  <c r="T289" i="6" s="1"/>
  <c r="M290" i="6"/>
  <c r="S290" i="6" s="1"/>
  <c r="N290" i="6"/>
  <c r="T290" i="6" s="1"/>
  <c r="M291" i="6"/>
  <c r="S291" i="6" s="1"/>
  <c r="N291" i="6"/>
  <c r="T291" i="6" s="1"/>
  <c r="M292" i="6"/>
  <c r="S292" i="6" s="1"/>
  <c r="N292" i="6"/>
  <c r="T292" i="6" s="1"/>
  <c r="M293" i="6"/>
  <c r="S293" i="6" s="1"/>
  <c r="N293" i="6"/>
  <c r="T293" i="6" s="1"/>
  <c r="M294" i="6"/>
  <c r="S294" i="6" s="1"/>
  <c r="N294" i="6"/>
  <c r="T294" i="6" s="1"/>
  <c r="M295" i="6"/>
  <c r="S295" i="6" s="1"/>
  <c r="N295" i="6"/>
  <c r="T295" i="6" s="1"/>
  <c r="M296" i="6"/>
  <c r="S296" i="6" s="1"/>
  <c r="N296" i="6"/>
  <c r="T296" i="6" s="1"/>
  <c r="M297" i="6"/>
  <c r="S297" i="6" s="1"/>
  <c r="N297" i="6"/>
  <c r="T297" i="6" s="1"/>
  <c r="O289" i="6"/>
  <c r="P289" i="6"/>
  <c r="O290" i="6"/>
  <c r="P290" i="6"/>
  <c r="T268" i="6"/>
  <c r="S282" i="6"/>
  <c r="V282" i="6"/>
  <c r="U282" i="6"/>
  <c r="T282" i="6"/>
  <c r="U289" i="6"/>
  <c r="V289" i="6"/>
  <c r="U290" i="6"/>
  <c r="V290" i="6"/>
  <c r="U291" i="6"/>
  <c r="V291" i="6"/>
  <c r="U292" i="6"/>
  <c r="V292" i="6"/>
  <c r="U293" i="6"/>
  <c r="V293" i="6"/>
  <c r="U294" i="6"/>
  <c r="V294" i="6"/>
  <c r="U295" i="6"/>
  <c r="V295" i="6"/>
  <c r="U296" i="6"/>
  <c r="V296" i="6"/>
  <c r="U297" i="6"/>
  <c r="V297" i="6"/>
  <c r="O282" i="6"/>
  <c r="O291" i="6"/>
  <c r="P291" i="6"/>
  <c r="O292" i="6"/>
  <c r="P292" i="6"/>
  <c r="O293" i="6"/>
  <c r="P293" i="6"/>
  <c r="O294" i="6"/>
  <c r="P294" i="6"/>
  <c r="O295" i="6"/>
  <c r="P295" i="6"/>
  <c r="O296" i="6"/>
  <c r="P296" i="6"/>
  <c r="O297" i="6"/>
  <c r="P297" i="6"/>
  <c r="H286" i="1"/>
  <c r="P279" i="6"/>
  <c r="V279" i="6" s="1"/>
  <c r="O280" i="6"/>
  <c r="U280" i="6" s="1"/>
  <c r="P275" i="6"/>
  <c r="V275" i="6" s="1"/>
  <c r="N278" i="6"/>
  <c r="M279" i="6"/>
  <c r="N279" i="6"/>
  <c r="O279" i="6"/>
  <c r="M280" i="6"/>
  <c r="S280" i="6" s="1"/>
  <c r="N280" i="6"/>
  <c r="T280" i="6" s="1"/>
  <c r="P280" i="6"/>
  <c r="V280" i="6" s="1"/>
  <c r="M281" i="6"/>
  <c r="S281" i="6" s="1"/>
  <c r="P281" i="6"/>
  <c r="M282" i="6"/>
  <c r="N282" i="6"/>
  <c r="P282" i="6"/>
  <c r="S269" i="6"/>
  <c r="H275" i="1"/>
  <c r="M271" i="6"/>
  <c r="H273" i="1"/>
  <c r="N271" i="6"/>
  <c r="O271" i="6"/>
  <c r="P271" i="6"/>
  <c r="M272" i="6"/>
  <c r="N272" i="6"/>
  <c r="O272" i="6"/>
  <c r="P272" i="6"/>
  <c r="M273" i="6"/>
  <c r="N273" i="6"/>
  <c r="O273" i="6"/>
  <c r="P273" i="6"/>
  <c r="M274" i="6"/>
  <c r="N274" i="6"/>
  <c r="O274" i="6"/>
  <c r="P274" i="6"/>
  <c r="M275" i="6"/>
  <c r="N275" i="6"/>
  <c r="O275" i="6"/>
  <c r="M276" i="6"/>
  <c r="S276" i="6" s="1"/>
  <c r="N276" i="6"/>
  <c r="T276" i="6" s="1"/>
  <c r="O276" i="6"/>
  <c r="U276" i="6" s="1"/>
  <c r="P276" i="6"/>
  <c r="V276" i="6" s="1"/>
  <c r="M277" i="6"/>
  <c r="S277" i="6" s="1"/>
  <c r="N277" i="6"/>
  <c r="T277" i="6" s="1"/>
  <c r="O277" i="6"/>
  <c r="U277" i="6" s="1"/>
  <c r="P277" i="6"/>
  <c r="V277" i="6" s="1"/>
  <c r="M278" i="6"/>
  <c r="S278" i="6" s="1"/>
  <c r="O278" i="6"/>
  <c r="P278" i="6"/>
  <c r="V278" i="6" s="1"/>
  <c r="AA262" i="6"/>
  <c r="Z262" i="6"/>
  <c r="H268" i="1"/>
  <c r="H267" i="1"/>
  <c r="P263" i="6"/>
  <c r="P261" i="6"/>
  <c r="H264" i="1"/>
  <c r="Z255" i="6"/>
  <c r="AA276" i="6" l="1"/>
  <c r="AA277" i="6" s="1"/>
  <c r="AB276" i="6"/>
  <c r="AB277" i="6" s="1"/>
  <c r="Z276" i="6"/>
  <c r="AC276" i="6"/>
  <c r="AA282" i="6"/>
  <c r="AA283" i="6" s="1"/>
  <c r="Z282" i="6"/>
  <c r="Z283" i="6" s="1"/>
  <c r="AB282" i="6"/>
  <c r="AB283" i="6" s="1"/>
  <c r="AC282" i="6"/>
  <c r="AC283" i="6" s="1"/>
  <c r="AC269" i="6"/>
  <c r="AC277" i="6"/>
  <c r="Z277" i="6"/>
  <c r="AA248" i="6"/>
  <c r="Z248" i="6"/>
  <c r="P254" i="6"/>
  <c r="V254" i="6" s="1"/>
  <c r="AC248" i="6" s="1"/>
  <c r="AB248" i="6"/>
  <c r="M260" i="6"/>
  <c r="S260" i="6" s="1"/>
  <c r="N260" i="6"/>
  <c r="T260" i="6" s="1"/>
  <c r="O260" i="6"/>
  <c r="U260" i="6" s="1"/>
  <c r="P260" i="6"/>
  <c r="V260" i="6" s="1"/>
  <c r="M261" i="6"/>
  <c r="S261" i="6" s="1"/>
  <c r="N261" i="6"/>
  <c r="T261" i="6" s="1"/>
  <c r="AA255" i="6" s="1"/>
  <c r="O261" i="6"/>
  <c r="U261" i="6" s="1"/>
  <c r="AB255" i="6" s="1"/>
  <c r="V261" i="6"/>
  <c r="AC255" i="6" s="1"/>
  <c r="M262" i="6"/>
  <c r="S262" i="6" s="1"/>
  <c r="N262" i="6"/>
  <c r="T262" i="6" s="1"/>
  <c r="O262" i="6"/>
  <c r="U262" i="6" s="1"/>
  <c r="P262" i="6"/>
  <c r="V262" i="6" s="1"/>
  <c r="M263" i="6"/>
  <c r="S263" i="6" s="1"/>
  <c r="N263" i="6"/>
  <c r="T263" i="6" s="1"/>
  <c r="O263" i="6"/>
  <c r="U263" i="6" s="1"/>
  <c r="V263" i="6"/>
  <c r="M264" i="6"/>
  <c r="S264" i="6" s="1"/>
  <c r="N264" i="6"/>
  <c r="T264" i="6" s="1"/>
  <c r="O264" i="6"/>
  <c r="U264" i="6" s="1"/>
  <c r="P264" i="6"/>
  <c r="V264" i="6" s="1"/>
  <c r="M265" i="6"/>
  <c r="S265" i="6" s="1"/>
  <c r="N265" i="6"/>
  <c r="T265" i="6" s="1"/>
  <c r="O265" i="6"/>
  <c r="U265" i="6" s="1"/>
  <c r="P265" i="6"/>
  <c r="V265" i="6" s="1"/>
  <c r="M266" i="6"/>
  <c r="S266" i="6" s="1"/>
  <c r="N266" i="6"/>
  <c r="T266" i="6" s="1"/>
  <c r="O266" i="6"/>
  <c r="U266" i="6" s="1"/>
  <c r="P266" i="6"/>
  <c r="V266" i="6" s="1"/>
  <c r="M267" i="6"/>
  <c r="S267" i="6" s="1"/>
  <c r="N267" i="6"/>
  <c r="T267" i="6" s="1"/>
  <c r="O267" i="6"/>
  <c r="U267" i="6" s="1"/>
  <c r="P267" i="6"/>
  <c r="V267" i="6" s="1"/>
  <c r="M268" i="6"/>
  <c r="S268" i="6" s="1"/>
  <c r="N268" i="6"/>
  <c r="O268" i="6"/>
  <c r="U268" i="6" s="1"/>
  <c r="P268" i="6"/>
  <c r="V268" i="6" s="1"/>
  <c r="AC262" i="6" s="1"/>
  <c r="M269" i="6"/>
  <c r="N269" i="6"/>
  <c r="T269" i="6" s="1"/>
  <c r="O269" i="6"/>
  <c r="U269" i="6" s="1"/>
  <c r="P269" i="6"/>
  <c r="V269" i="6" s="1"/>
  <c r="M270" i="6"/>
  <c r="N270" i="6"/>
  <c r="O270" i="6"/>
  <c r="P270" i="6"/>
  <c r="M254" i="6"/>
  <c r="S254" i="6" s="1"/>
  <c r="N254" i="6"/>
  <c r="T254" i="6" s="1"/>
  <c r="O254" i="6"/>
  <c r="U254" i="6" s="1"/>
  <c r="M255" i="6"/>
  <c r="S255" i="6" s="1"/>
  <c r="N255" i="6"/>
  <c r="T255" i="6" s="1"/>
  <c r="O255" i="6"/>
  <c r="U255" i="6" s="1"/>
  <c r="P255" i="6"/>
  <c r="V255" i="6" s="1"/>
  <c r="M256" i="6"/>
  <c r="S256" i="6" s="1"/>
  <c r="N256" i="6"/>
  <c r="T256" i="6" s="1"/>
  <c r="O256" i="6"/>
  <c r="U256" i="6" s="1"/>
  <c r="P256" i="6"/>
  <c r="V256" i="6" s="1"/>
  <c r="M257" i="6"/>
  <c r="S257" i="6" s="1"/>
  <c r="N257" i="6"/>
  <c r="T257" i="6" s="1"/>
  <c r="O257" i="6"/>
  <c r="U257" i="6" s="1"/>
  <c r="P257" i="6"/>
  <c r="V257" i="6" s="1"/>
  <c r="M258" i="6"/>
  <c r="S258" i="6" s="1"/>
  <c r="N258" i="6"/>
  <c r="T258" i="6" s="1"/>
  <c r="O258" i="6"/>
  <c r="U258" i="6" s="1"/>
  <c r="P258" i="6"/>
  <c r="V258" i="6" s="1"/>
  <c r="M259" i="6"/>
  <c r="S259" i="6" s="1"/>
  <c r="N259" i="6"/>
  <c r="T259" i="6" s="1"/>
  <c r="O259" i="6"/>
  <c r="U259" i="6" s="1"/>
  <c r="P259" i="6"/>
  <c r="V259" i="6" s="1"/>
  <c r="AC270" i="6" l="1"/>
  <c r="AB270" i="6"/>
  <c r="Z270" i="6"/>
  <c r="AC263" i="6"/>
  <c r="AB262" i="6"/>
  <c r="AB263" i="6" s="1"/>
  <c r="AA263" i="6"/>
  <c r="Z263" i="6"/>
  <c r="AA256" i="6"/>
  <c r="Z256" i="6"/>
  <c r="AB256" i="6"/>
  <c r="AC256" i="6"/>
  <c r="AB242" i="6"/>
  <c r="AA242" i="6"/>
  <c r="Z242" i="6"/>
  <c r="M250" i="6"/>
  <c r="S250" i="6" s="1"/>
  <c r="N250" i="6"/>
  <c r="T250" i="6" s="1"/>
  <c r="O250" i="6"/>
  <c r="U250" i="6" s="1"/>
  <c r="P250" i="6"/>
  <c r="V250" i="6" s="1"/>
  <c r="M251" i="6"/>
  <c r="S251" i="6" s="1"/>
  <c r="N251" i="6"/>
  <c r="T251" i="6" s="1"/>
  <c r="O251" i="6"/>
  <c r="U251" i="6" s="1"/>
  <c r="P251" i="6"/>
  <c r="V251" i="6" s="1"/>
  <c r="M252" i="6"/>
  <c r="S252" i="6" s="1"/>
  <c r="N252" i="6"/>
  <c r="T252" i="6" s="1"/>
  <c r="O252" i="6"/>
  <c r="U252" i="6" s="1"/>
  <c r="P252" i="6"/>
  <c r="V252" i="6" s="1"/>
  <c r="M253" i="6"/>
  <c r="S253" i="6" s="1"/>
  <c r="N253" i="6"/>
  <c r="T253" i="6" s="1"/>
  <c r="O253" i="6"/>
  <c r="U253" i="6" s="1"/>
  <c r="P253" i="6"/>
  <c r="V253" i="6" s="1"/>
  <c r="P247" i="6"/>
  <c r="V247" i="6" s="1"/>
  <c r="AC242" i="6" s="1"/>
  <c r="O247" i="6"/>
  <c r="M248" i="6"/>
  <c r="S248" i="6" s="1"/>
  <c r="N248" i="6"/>
  <c r="T248" i="6" s="1"/>
  <c r="O248" i="6"/>
  <c r="U248" i="6" s="1"/>
  <c r="P248" i="6"/>
  <c r="V248" i="6" s="1"/>
  <c r="M249" i="6"/>
  <c r="S249" i="6" s="1"/>
  <c r="N249" i="6"/>
  <c r="T249" i="6" s="1"/>
  <c r="O249" i="6"/>
  <c r="U249" i="6" s="1"/>
  <c r="P249" i="6"/>
  <c r="V249" i="6" s="1"/>
  <c r="M242" i="6"/>
  <c r="S242" i="6" s="1"/>
  <c r="N242" i="6"/>
  <c r="T242" i="6" s="1"/>
  <c r="O242" i="6"/>
  <c r="U242" i="6" s="1"/>
  <c r="P242" i="6"/>
  <c r="V242" i="6" s="1"/>
  <c r="H243" i="1"/>
  <c r="M240" i="6"/>
  <c r="S240" i="6" s="1"/>
  <c r="N240" i="6"/>
  <c r="T240" i="6" s="1"/>
  <c r="O240" i="6"/>
  <c r="U240" i="6" s="1"/>
  <c r="P240" i="6"/>
  <c r="V240" i="6" s="1"/>
  <c r="M241" i="6"/>
  <c r="S241" i="6" s="1"/>
  <c r="N241" i="6"/>
  <c r="T241" i="6" s="1"/>
  <c r="O241" i="6"/>
  <c r="U241" i="6" s="1"/>
  <c r="P241" i="6"/>
  <c r="V241" i="6" s="1"/>
  <c r="M243" i="6"/>
  <c r="S243" i="6" s="1"/>
  <c r="N243" i="6"/>
  <c r="T243" i="6" s="1"/>
  <c r="O243" i="6"/>
  <c r="U243" i="6" s="1"/>
  <c r="P243" i="6"/>
  <c r="V243" i="6" s="1"/>
  <c r="M244" i="6"/>
  <c r="S244" i="6" s="1"/>
  <c r="N244" i="6"/>
  <c r="T244" i="6" s="1"/>
  <c r="O244" i="6"/>
  <c r="U244" i="6" s="1"/>
  <c r="P244" i="6"/>
  <c r="V244" i="6" s="1"/>
  <c r="M245" i="6"/>
  <c r="S245" i="6" s="1"/>
  <c r="N245" i="6"/>
  <c r="T245" i="6" s="1"/>
  <c r="O245" i="6"/>
  <c r="U245" i="6" s="1"/>
  <c r="P245" i="6"/>
  <c r="V245" i="6" s="1"/>
  <c r="M246" i="6"/>
  <c r="S246" i="6" s="1"/>
  <c r="N246" i="6"/>
  <c r="T246" i="6" s="1"/>
  <c r="O246" i="6"/>
  <c r="U246" i="6" s="1"/>
  <c r="P246" i="6"/>
  <c r="V246" i="6" s="1"/>
  <c r="M247" i="6"/>
  <c r="S247" i="6" s="1"/>
  <c r="N247" i="6"/>
  <c r="T247" i="6" s="1"/>
  <c r="U247" i="6"/>
  <c r="O235" i="6"/>
  <c r="U235" i="6" s="1"/>
  <c r="H235" i="1"/>
  <c r="H233" i="1"/>
  <c r="T239" i="6"/>
  <c r="U239" i="6"/>
  <c r="M235" i="6"/>
  <c r="S235" i="6" s="1"/>
  <c r="N235" i="6"/>
  <c r="T235" i="6" s="1"/>
  <c r="P235" i="6"/>
  <c r="V235" i="6" s="1"/>
  <c r="M236" i="6"/>
  <c r="S236" i="6" s="1"/>
  <c r="N236" i="6"/>
  <c r="T236" i="6" s="1"/>
  <c r="O236" i="6"/>
  <c r="U236" i="6" s="1"/>
  <c r="P236" i="6"/>
  <c r="V236" i="6" s="1"/>
  <c r="M237" i="6"/>
  <c r="S237" i="6" s="1"/>
  <c r="N237" i="6"/>
  <c r="T237" i="6" s="1"/>
  <c r="O237" i="6"/>
  <c r="U237" i="6" s="1"/>
  <c r="P237" i="6"/>
  <c r="V237" i="6" s="1"/>
  <c r="M238" i="6"/>
  <c r="S238" i="6" s="1"/>
  <c r="N238" i="6"/>
  <c r="T238" i="6" s="1"/>
  <c r="O238" i="6"/>
  <c r="U238" i="6" s="1"/>
  <c r="P238" i="6"/>
  <c r="V238" i="6" s="1"/>
  <c r="M239" i="6"/>
  <c r="S239" i="6" s="1"/>
  <c r="N239" i="6"/>
  <c r="O239" i="6"/>
  <c r="P239" i="6"/>
  <c r="V239" i="6" s="1"/>
  <c r="H231" i="1"/>
  <c r="H230" i="1"/>
  <c r="Z249" i="6" l="1"/>
  <c r="AB249" i="6"/>
  <c r="AA249" i="6"/>
  <c r="AC249" i="6"/>
  <c r="AC243" i="6"/>
  <c r="AB243" i="6"/>
  <c r="AA243" i="6"/>
  <c r="Z243" i="6"/>
  <c r="Z237" i="6"/>
  <c r="Z238" i="6" s="1"/>
  <c r="AC237" i="6"/>
  <c r="AC238" i="6" s="1"/>
  <c r="AB237" i="6"/>
  <c r="AA237" i="6"/>
  <c r="AA238" i="6" s="1"/>
  <c r="AB238" i="6"/>
  <c r="M224" i="6"/>
  <c r="N224" i="6"/>
  <c r="O224" i="6"/>
  <c r="P224" i="6"/>
  <c r="M225" i="6"/>
  <c r="N225" i="6"/>
  <c r="O225" i="6"/>
  <c r="U225" i="6" s="1"/>
  <c r="P225" i="6"/>
  <c r="V225" i="6" s="1"/>
  <c r="M226" i="6"/>
  <c r="S226" i="6" s="1"/>
  <c r="N226" i="6"/>
  <c r="T226" i="6" s="1"/>
  <c r="O226" i="6"/>
  <c r="U226" i="6" s="1"/>
  <c r="P226" i="6"/>
  <c r="V226" i="6" s="1"/>
  <c r="M227" i="6"/>
  <c r="S227" i="6" s="1"/>
  <c r="N227" i="6"/>
  <c r="T227" i="6" s="1"/>
  <c r="O227" i="6"/>
  <c r="U227" i="6" s="1"/>
  <c r="P227" i="6"/>
  <c r="V227" i="6" s="1"/>
  <c r="M228" i="6"/>
  <c r="S228" i="6" s="1"/>
  <c r="N228" i="6"/>
  <c r="T228" i="6" s="1"/>
  <c r="O228" i="6"/>
  <c r="U228" i="6" s="1"/>
  <c r="P228" i="6"/>
  <c r="V228" i="6" s="1"/>
  <c r="M229" i="6"/>
  <c r="N229" i="6"/>
  <c r="O229" i="6"/>
  <c r="P229" i="6"/>
  <c r="V229" i="6" s="1"/>
  <c r="M230" i="6"/>
  <c r="S230" i="6" s="1"/>
  <c r="N230" i="6"/>
  <c r="T230" i="6" s="1"/>
  <c r="O230" i="6"/>
  <c r="U230" i="6" s="1"/>
  <c r="P230" i="6"/>
  <c r="V230" i="6" s="1"/>
  <c r="M231" i="6"/>
  <c r="S231" i="6" s="1"/>
  <c r="N231" i="6"/>
  <c r="T231" i="6" s="1"/>
  <c r="O231" i="6"/>
  <c r="U231" i="6" s="1"/>
  <c r="P231" i="6"/>
  <c r="V231" i="6" s="1"/>
  <c r="M232" i="6"/>
  <c r="N232" i="6"/>
  <c r="O232" i="6"/>
  <c r="U232" i="6" s="1"/>
  <c r="P232" i="6"/>
  <c r="V232" i="6" s="1"/>
  <c r="M233" i="6"/>
  <c r="S233" i="6" s="1"/>
  <c r="N233" i="6"/>
  <c r="T233" i="6" s="1"/>
  <c r="O233" i="6"/>
  <c r="U233" i="6" s="1"/>
  <c r="P233" i="6"/>
  <c r="V233" i="6" s="1"/>
  <c r="M234" i="6"/>
  <c r="S234" i="6" s="1"/>
  <c r="N234" i="6"/>
  <c r="T234" i="6" s="1"/>
  <c r="O234" i="6"/>
  <c r="U234" i="6" s="1"/>
  <c r="P234" i="6"/>
  <c r="V234" i="6" s="1"/>
  <c r="S224" i="6"/>
  <c r="T224" i="6"/>
  <c r="U224" i="6"/>
  <c r="V224" i="6"/>
  <c r="S225" i="6"/>
  <c r="T225" i="6"/>
  <c r="S229" i="6"/>
  <c r="T229" i="6"/>
  <c r="U229" i="6"/>
  <c r="S232" i="6"/>
  <c r="T232" i="6"/>
  <c r="AC230" i="6" l="1"/>
  <c r="AB230" i="6"/>
  <c r="AA230" i="6"/>
  <c r="Z230" i="6"/>
  <c r="Z231" i="6"/>
  <c r="AB231" i="6"/>
  <c r="AC231" i="6"/>
  <c r="AA231" i="6"/>
  <c r="N219" i="6"/>
  <c r="T219" i="6" s="1"/>
  <c r="M215" i="6"/>
  <c r="S215" i="6" s="1"/>
  <c r="N215" i="6"/>
  <c r="T215" i="6" s="1"/>
  <c r="O215" i="6"/>
  <c r="U215" i="6" s="1"/>
  <c r="P215" i="6"/>
  <c r="V215" i="6" s="1"/>
  <c r="M216" i="6"/>
  <c r="S216" i="6" s="1"/>
  <c r="N216" i="6"/>
  <c r="T216" i="6" s="1"/>
  <c r="O216" i="6"/>
  <c r="U216" i="6" s="1"/>
  <c r="P216" i="6"/>
  <c r="V216" i="6" s="1"/>
  <c r="M217" i="6"/>
  <c r="S217" i="6" s="1"/>
  <c r="N217" i="6"/>
  <c r="T217" i="6" s="1"/>
  <c r="O217" i="6"/>
  <c r="U217" i="6" s="1"/>
  <c r="P217" i="6"/>
  <c r="V217" i="6" s="1"/>
  <c r="M218" i="6"/>
  <c r="S218" i="6" s="1"/>
  <c r="N218" i="6"/>
  <c r="T218" i="6" s="1"/>
  <c r="O218" i="6"/>
  <c r="U218" i="6" s="1"/>
  <c r="P218" i="6"/>
  <c r="V218" i="6" s="1"/>
  <c r="M219" i="6"/>
  <c r="S219" i="6" s="1"/>
  <c r="O219" i="6"/>
  <c r="U219" i="6" s="1"/>
  <c r="P219" i="6"/>
  <c r="V219" i="6" s="1"/>
  <c r="M220" i="6"/>
  <c r="S220" i="6" s="1"/>
  <c r="N220" i="6"/>
  <c r="T220" i="6" s="1"/>
  <c r="O220" i="6"/>
  <c r="U220" i="6" s="1"/>
  <c r="P220" i="6"/>
  <c r="V220" i="6" s="1"/>
  <c r="M221" i="6"/>
  <c r="S221" i="6" s="1"/>
  <c r="N221" i="6"/>
  <c r="T221" i="6" s="1"/>
  <c r="O221" i="6"/>
  <c r="U221" i="6" s="1"/>
  <c r="P221" i="6"/>
  <c r="V221" i="6" s="1"/>
  <c r="M222" i="6"/>
  <c r="S222" i="6" s="1"/>
  <c r="N222" i="6"/>
  <c r="T222" i="6" s="1"/>
  <c r="O222" i="6"/>
  <c r="U222" i="6" s="1"/>
  <c r="P222" i="6"/>
  <c r="V222" i="6" s="1"/>
  <c r="M223" i="6"/>
  <c r="S223" i="6" s="1"/>
  <c r="N223" i="6"/>
  <c r="T223" i="6" s="1"/>
  <c r="O223" i="6"/>
  <c r="U223" i="6" s="1"/>
  <c r="P223" i="6"/>
  <c r="V223" i="6" s="1"/>
  <c r="O213" i="6"/>
  <c r="U213" i="6" s="1"/>
  <c r="M210" i="6"/>
  <c r="S210" i="6" s="1"/>
  <c r="H208" i="1"/>
  <c r="H207" i="1"/>
  <c r="M206" i="6"/>
  <c r="S206" i="6" s="1"/>
  <c r="N206" i="6"/>
  <c r="T206" i="6" s="1"/>
  <c r="O206" i="6"/>
  <c r="U206" i="6" s="1"/>
  <c r="P206" i="6"/>
  <c r="V206" i="6" s="1"/>
  <c r="M207" i="6"/>
  <c r="S207" i="6" s="1"/>
  <c r="N207" i="6"/>
  <c r="T207" i="6" s="1"/>
  <c r="O207" i="6"/>
  <c r="U207" i="6" s="1"/>
  <c r="P207" i="6"/>
  <c r="V207" i="6" s="1"/>
  <c r="M208" i="6"/>
  <c r="S208" i="6" s="1"/>
  <c r="N208" i="6"/>
  <c r="T208" i="6" s="1"/>
  <c r="O208" i="6"/>
  <c r="U208" i="6" s="1"/>
  <c r="P208" i="6"/>
  <c r="V208" i="6" s="1"/>
  <c r="M209" i="6"/>
  <c r="S209" i="6" s="1"/>
  <c r="N209" i="6"/>
  <c r="T209" i="6" s="1"/>
  <c r="O209" i="6"/>
  <c r="U209" i="6" s="1"/>
  <c r="P209" i="6"/>
  <c r="V209" i="6" s="1"/>
  <c r="N210" i="6"/>
  <c r="T210" i="6" s="1"/>
  <c r="O210" i="6"/>
  <c r="U210" i="6" s="1"/>
  <c r="P210" i="6"/>
  <c r="V210" i="6" s="1"/>
  <c r="M211" i="6"/>
  <c r="S211" i="6" s="1"/>
  <c r="N211" i="6"/>
  <c r="T211" i="6" s="1"/>
  <c r="O211" i="6"/>
  <c r="U211" i="6" s="1"/>
  <c r="P211" i="6"/>
  <c r="V211" i="6" s="1"/>
  <c r="M212" i="6"/>
  <c r="S212" i="6" s="1"/>
  <c r="N212" i="6"/>
  <c r="T212" i="6" s="1"/>
  <c r="O212" i="6"/>
  <c r="U212" i="6" s="1"/>
  <c r="P212" i="6"/>
  <c r="V212" i="6" s="1"/>
  <c r="M213" i="6"/>
  <c r="S213" i="6" s="1"/>
  <c r="N213" i="6"/>
  <c r="T213" i="6" s="1"/>
  <c r="P213" i="6"/>
  <c r="V213" i="6" s="1"/>
  <c r="M214" i="6"/>
  <c r="S214" i="6" s="1"/>
  <c r="N214" i="6"/>
  <c r="T214" i="6" s="1"/>
  <c r="O214" i="6"/>
  <c r="U214" i="6" s="1"/>
  <c r="P214" i="6"/>
  <c r="V214" i="6" s="1"/>
  <c r="O203" i="6"/>
  <c r="U203" i="6" s="1"/>
  <c r="M202" i="6"/>
  <c r="S202" i="6" s="1"/>
  <c r="N195" i="6"/>
  <c r="T195" i="6" s="1"/>
  <c r="U201" i="6"/>
  <c r="M193" i="6"/>
  <c r="S193" i="6" s="1"/>
  <c r="N193" i="6"/>
  <c r="T193" i="6" s="1"/>
  <c r="O193" i="6"/>
  <c r="U193" i="6" s="1"/>
  <c r="P193" i="6"/>
  <c r="V193" i="6" s="1"/>
  <c r="M194" i="6"/>
  <c r="S194" i="6" s="1"/>
  <c r="N194" i="6"/>
  <c r="T194" i="6" s="1"/>
  <c r="O194" i="6"/>
  <c r="U194" i="6" s="1"/>
  <c r="P194" i="6"/>
  <c r="V194" i="6" s="1"/>
  <c r="M195" i="6"/>
  <c r="S195" i="6" s="1"/>
  <c r="O195" i="6"/>
  <c r="U195" i="6" s="1"/>
  <c r="P195" i="6"/>
  <c r="V195" i="6" s="1"/>
  <c r="M196" i="6"/>
  <c r="S196" i="6" s="1"/>
  <c r="N196" i="6"/>
  <c r="T196" i="6" s="1"/>
  <c r="O196" i="6"/>
  <c r="U196" i="6" s="1"/>
  <c r="P196" i="6"/>
  <c r="V196" i="6" s="1"/>
  <c r="M197" i="6"/>
  <c r="S197" i="6" s="1"/>
  <c r="N197" i="6"/>
  <c r="T197" i="6" s="1"/>
  <c r="O197" i="6"/>
  <c r="U197" i="6" s="1"/>
  <c r="P197" i="6"/>
  <c r="V197" i="6" s="1"/>
  <c r="M198" i="6"/>
  <c r="S198" i="6" s="1"/>
  <c r="N198" i="6"/>
  <c r="T198" i="6" s="1"/>
  <c r="O198" i="6"/>
  <c r="U198" i="6" s="1"/>
  <c r="P198" i="6"/>
  <c r="V198" i="6" s="1"/>
  <c r="M199" i="6"/>
  <c r="S199" i="6" s="1"/>
  <c r="N199" i="6"/>
  <c r="T199" i="6" s="1"/>
  <c r="O199" i="6"/>
  <c r="U199" i="6" s="1"/>
  <c r="P199" i="6"/>
  <c r="V199" i="6" s="1"/>
  <c r="M200" i="6"/>
  <c r="S200" i="6" s="1"/>
  <c r="N200" i="6"/>
  <c r="T200" i="6" s="1"/>
  <c r="O200" i="6"/>
  <c r="U200" i="6" s="1"/>
  <c r="P200" i="6"/>
  <c r="V200" i="6" s="1"/>
  <c r="M201" i="6"/>
  <c r="S201" i="6" s="1"/>
  <c r="N201" i="6"/>
  <c r="T201" i="6" s="1"/>
  <c r="O201" i="6"/>
  <c r="P201" i="6"/>
  <c r="V201" i="6" s="1"/>
  <c r="N202" i="6"/>
  <c r="T202" i="6" s="1"/>
  <c r="O202" i="6"/>
  <c r="U202" i="6" s="1"/>
  <c r="P202" i="6"/>
  <c r="V202" i="6" s="1"/>
  <c r="M203" i="6"/>
  <c r="S203" i="6" s="1"/>
  <c r="N203" i="6"/>
  <c r="T203" i="6" s="1"/>
  <c r="P203" i="6"/>
  <c r="V203" i="6" s="1"/>
  <c r="M204" i="6"/>
  <c r="S204" i="6" s="1"/>
  <c r="N204" i="6"/>
  <c r="T204" i="6" s="1"/>
  <c r="O204" i="6"/>
  <c r="U204" i="6" s="1"/>
  <c r="P204" i="6"/>
  <c r="V204" i="6" s="1"/>
  <c r="M205" i="6"/>
  <c r="S205" i="6" s="1"/>
  <c r="N205" i="6"/>
  <c r="T205" i="6" s="1"/>
  <c r="O205" i="6"/>
  <c r="U205" i="6" s="1"/>
  <c r="P205" i="6"/>
  <c r="V205" i="6" s="1"/>
  <c r="N186" i="6"/>
  <c r="T186" i="6" s="1"/>
  <c r="O187" i="6"/>
  <c r="U187" i="6" s="1"/>
  <c r="M186" i="6"/>
  <c r="S186" i="6" s="1"/>
  <c r="O186" i="6"/>
  <c r="U186" i="6" s="1"/>
  <c r="P186" i="6"/>
  <c r="V186" i="6" s="1"/>
  <c r="M187" i="6"/>
  <c r="S187" i="6" s="1"/>
  <c r="N187" i="6"/>
  <c r="T187" i="6" s="1"/>
  <c r="P187" i="6"/>
  <c r="V187" i="6" s="1"/>
  <c r="M188" i="6"/>
  <c r="S188" i="6" s="1"/>
  <c r="N188" i="6"/>
  <c r="T188" i="6" s="1"/>
  <c r="O188" i="6"/>
  <c r="U188" i="6" s="1"/>
  <c r="P188" i="6"/>
  <c r="V188" i="6" s="1"/>
  <c r="M189" i="6"/>
  <c r="S189" i="6" s="1"/>
  <c r="N189" i="6"/>
  <c r="T189" i="6" s="1"/>
  <c r="O189" i="6"/>
  <c r="U189" i="6" s="1"/>
  <c r="AB189" i="6" s="1"/>
  <c r="P189" i="6"/>
  <c r="V189" i="6" s="1"/>
  <c r="M190" i="6"/>
  <c r="S190" i="6" s="1"/>
  <c r="N190" i="6"/>
  <c r="T190" i="6" s="1"/>
  <c r="O190" i="6"/>
  <c r="U190" i="6" s="1"/>
  <c r="P190" i="6"/>
  <c r="V190" i="6" s="1"/>
  <c r="M191" i="6"/>
  <c r="S191" i="6" s="1"/>
  <c r="N191" i="6"/>
  <c r="T191" i="6" s="1"/>
  <c r="O191" i="6"/>
  <c r="U191" i="6" s="1"/>
  <c r="P191" i="6"/>
  <c r="V191" i="6" s="1"/>
  <c r="M192" i="6"/>
  <c r="S192" i="6" s="1"/>
  <c r="N192" i="6"/>
  <c r="T192" i="6" s="1"/>
  <c r="O192" i="6"/>
  <c r="U192" i="6" s="1"/>
  <c r="P192" i="6"/>
  <c r="V192" i="6" s="1"/>
  <c r="T177" i="6"/>
  <c r="M179" i="6"/>
  <c r="S179" i="6" s="1"/>
  <c r="N179" i="6"/>
  <c r="T179" i="6" s="1"/>
  <c r="O179" i="6"/>
  <c r="U179" i="6" s="1"/>
  <c r="P179" i="6"/>
  <c r="V179" i="6" s="1"/>
  <c r="M180" i="6"/>
  <c r="S180" i="6" s="1"/>
  <c r="N180" i="6"/>
  <c r="T180" i="6" s="1"/>
  <c r="O180" i="6"/>
  <c r="U180" i="6" s="1"/>
  <c r="P180" i="6"/>
  <c r="V180" i="6" s="1"/>
  <c r="M181" i="6"/>
  <c r="S181" i="6" s="1"/>
  <c r="N181" i="6"/>
  <c r="T181" i="6" s="1"/>
  <c r="O181" i="6"/>
  <c r="U181" i="6" s="1"/>
  <c r="P181" i="6"/>
  <c r="V181" i="6" s="1"/>
  <c r="M182" i="6"/>
  <c r="S182" i="6" s="1"/>
  <c r="N182" i="6"/>
  <c r="T182" i="6" s="1"/>
  <c r="O182" i="6"/>
  <c r="U182" i="6" s="1"/>
  <c r="P182" i="6"/>
  <c r="V182" i="6" s="1"/>
  <c r="M183" i="6"/>
  <c r="S183" i="6" s="1"/>
  <c r="N183" i="6"/>
  <c r="T183" i="6" s="1"/>
  <c r="O183" i="6"/>
  <c r="U183" i="6" s="1"/>
  <c r="P183" i="6"/>
  <c r="V183" i="6" s="1"/>
  <c r="M184" i="6"/>
  <c r="S184" i="6" s="1"/>
  <c r="N184" i="6"/>
  <c r="T184" i="6" s="1"/>
  <c r="O184" i="6"/>
  <c r="U184" i="6" s="1"/>
  <c r="P184" i="6"/>
  <c r="V184" i="6" s="1"/>
  <c r="M185" i="6"/>
  <c r="S185" i="6" s="1"/>
  <c r="N185" i="6"/>
  <c r="T185" i="6" s="1"/>
  <c r="O185" i="6"/>
  <c r="U185" i="6" s="1"/>
  <c r="P185" i="6"/>
  <c r="V185" i="6" s="1"/>
  <c r="O174" i="6"/>
  <c r="U174" i="6" s="1"/>
  <c r="P172" i="6"/>
  <c r="V172" i="6" s="1"/>
  <c r="P178" i="6"/>
  <c r="V178" i="6" s="1"/>
  <c r="O178" i="6"/>
  <c r="U178" i="6" s="1"/>
  <c r="N178" i="6"/>
  <c r="T178" i="6" s="1"/>
  <c r="M178" i="6"/>
  <c r="S178" i="6" s="1"/>
  <c r="P177" i="6"/>
  <c r="V177" i="6" s="1"/>
  <c r="O177" i="6"/>
  <c r="U177" i="6" s="1"/>
  <c r="N177" i="6"/>
  <c r="M177" i="6"/>
  <c r="S177" i="6" s="1"/>
  <c r="P176" i="6"/>
  <c r="V176" i="6" s="1"/>
  <c r="O176" i="6"/>
  <c r="U176" i="6" s="1"/>
  <c r="N176" i="6"/>
  <c r="T176" i="6" s="1"/>
  <c r="M176" i="6"/>
  <c r="S176" i="6" s="1"/>
  <c r="P175" i="6"/>
  <c r="V175" i="6" s="1"/>
  <c r="O175" i="6"/>
  <c r="U175" i="6" s="1"/>
  <c r="N175" i="6"/>
  <c r="T175" i="6" s="1"/>
  <c r="M175" i="6"/>
  <c r="S175" i="6" s="1"/>
  <c r="P174" i="6"/>
  <c r="V174" i="6" s="1"/>
  <c r="N174" i="6"/>
  <c r="T174" i="6" s="1"/>
  <c r="M174" i="6"/>
  <c r="S174" i="6" s="1"/>
  <c r="P173" i="6"/>
  <c r="V173" i="6" s="1"/>
  <c r="O173" i="6"/>
  <c r="U173" i="6" s="1"/>
  <c r="N173" i="6"/>
  <c r="T173" i="6" s="1"/>
  <c r="M173" i="6"/>
  <c r="S173" i="6" s="1"/>
  <c r="O172" i="6"/>
  <c r="N172" i="6"/>
  <c r="M172" i="6"/>
  <c r="S172" i="6" s="1"/>
  <c r="T172" i="6"/>
  <c r="U172" i="6"/>
  <c r="U168" i="6"/>
  <c r="U169" i="6"/>
  <c r="U170" i="6"/>
  <c r="U171" i="6"/>
  <c r="V166" i="6"/>
  <c r="V167" i="6"/>
  <c r="V168" i="6"/>
  <c r="N171" i="6"/>
  <c r="T171" i="6" s="1"/>
  <c r="M171" i="6"/>
  <c r="S171" i="6" s="1"/>
  <c r="M166" i="6"/>
  <c r="S166" i="6" s="1"/>
  <c r="M167" i="6"/>
  <c r="S167" i="6" s="1"/>
  <c r="M168" i="6"/>
  <c r="S168" i="6" s="1"/>
  <c r="M169" i="6"/>
  <c r="S169" i="6" s="1"/>
  <c r="M170" i="6"/>
  <c r="S170" i="6" s="1"/>
  <c r="N166" i="6"/>
  <c r="T166" i="6" s="1"/>
  <c r="N167" i="6"/>
  <c r="T167" i="6" s="1"/>
  <c r="N168" i="6"/>
  <c r="T168" i="6" s="1"/>
  <c r="N169" i="6"/>
  <c r="T169" i="6" s="1"/>
  <c r="N170" i="6"/>
  <c r="T170" i="6" s="1"/>
  <c r="O166" i="6"/>
  <c r="U166" i="6" s="1"/>
  <c r="O167" i="6"/>
  <c r="U167" i="6" s="1"/>
  <c r="O168" i="6"/>
  <c r="O169" i="6"/>
  <c r="O170" i="6"/>
  <c r="O171" i="6"/>
  <c r="P166" i="6"/>
  <c r="P167" i="6"/>
  <c r="P168" i="6"/>
  <c r="P169" i="6"/>
  <c r="V169" i="6" s="1"/>
  <c r="P170" i="6"/>
  <c r="V170" i="6" s="1"/>
  <c r="P171" i="6"/>
  <c r="V171" i="6" s="1"/>
  <c r="H169" i="1"/>
  <c r="H168" i="1"/>
  <c r="P164" i="6"/>
  <c r="V164" i="6" s="1"/>
  <c r="M159" i="6"/>
  <c r="S159" i="6" s="1"/>
  <c r="N159" i="6"/>
  <c r="T159" i="6" s="1"/>
  <c r="O159" i="6"/>
  <c r="U159" i="6" s="1"/>
  <c r="P159" i="6"/>
  <c r="V159" i="6" s="1"/>
  <c r="M160" i="6"/>
  <c r="S160" i="6" s="1"/>
  <c r="N160" i="6"/>
  <c r="T160" i="6" s="1"/>
  <c r="O160" i="6"/>
  <c r="U160" i="6" s="1"/>
  <c r="P160" i="6"/>
  <c r="V160" i="6" s="1"/>
  <c r="M161" i="6"/>
  <c r="S161" i="6" s="1"/>
  <c r="N161" i="6"/>
  <c r="T161" i="6" s="1"/>
  <c r="O161" i="6"/>
  <c r="U161" i="6" s="1"/>
  <c r="P161" i="6"/>
  <c r="V161" i="6" s="1"/>
  <c r="M162" i="6"/>
  <c r="S162" i="6" s="1"/>
  <c r="N162" i="6"/>
  <c r="T162" i="6" s="1"/>
  <c r="O162" i="6"/>
  <c r="U162" i="6" s="1"/>
  <c r="P162" i="6"/>
  <c r="V162" i="6" s="1"/>
  <c r="M163" i="6"/>
  <c r="S163" i="6" s="1"/>
  <c r="N163" i="6"/>
  <c r="T163" i="6" s="1"/>
  <c r="O163" i="6"/>
  <c r="U163" i="6" s="1"/>
  <c r="P163" i="6"/>
  <c r="V163" i="6" s="1"/>
  <c r="M164" i="6"/>
  <c r="S164" i="6" s="1"/>
  <c r="N164" i="6"/>
  <c r="T164" i="6" s="1"/>
  <c r="O164" i="6"/>
  <c r="U164" i="6" s="1"/>
  <c r="M165" i="6"/>
  <c r="S165" i="6" s="1"/>
  <c r="N165" i="6"/>
  <c r="T165" i="6" s="1"/>
  <c r="O165" i="6"/>
  <c r="U165" i="6" s="1"/>
  <c r="P165" i="6"/>
  <c r="V165" i="6" s="1"/>
  <c r="H162" i="1"/>
  <c r="P149" i="6"/>
  <c r="N157" i="6"/>
  <c r="M156" i="6"/>
  <c r="H157" i="1"/>
  <c r="M151" i="6"/>
  <c r="N151" i="6"/>
  <c r="M152" i="6"/>
  <c r="N152" i="6"/>
  <c r="H153" i="1"/>
  <c r="O148" i="6"/>
  <c r="N148" i="6"/>
  <c r="T148" i="6" s="1"/>
  <c r="AC165" i="6" l="1"/>
  <c r="AC166" i="6" s="1"/>
  <c r="AC222" i="6"/>
  <c r="AC223" i="6" s="1"/>
  <c r="Z189" i="6"/>
  <c r="AB173" i="6"/>
  <c r="AB165" i="6"/>
  <c r="AB196" i="6"/>
  <c r="Z196" i="6"/>
  <c r="AA204" i="6"/>
  <c r="AB213" i="6"/>
  <c r="AB214" i="6" s="1"/>
  <c r="Z165" i="6"/>
  <c r="Z166" i="6" s="1"/>
  <c r="AA196" i="6"/>
  <c r="AA173" i="6"/>
  <c r="AA174" i="6" s="1"/>
  <c r="AA165" i="6"/>
  <c r="AA166" i="6" s="1"/>
  <c r="Z173" i="6"/>
  <c r="Z174" i="6" s="1"/>
  <c r="Z180" i="6"/>
  <c r="Z181" i="6" s="1"/>
  <c r="AC196" i="6"/>
  <c r="AB222" i="6"/>
  <c r="AB223" i="6" s="1"/>
  <c r="Z190" i="6"/>
  <c r="AA180" i="6"/>
  <c r="AA181" i="6" s="1"/>
  <c r="AA222" i="6"/>
  <c r="AA223" i="6" s="1"/>
  <c r="AC173" i="6"/>
  <c r="AC174" i="6" s="1"/>
  <c r="AA189" i="6"/>
  <c r="AA190" i="6" s="1"/>
  <c r="Z222" i="6"/>
  <c r="AC213" i="6"/>
  <c r="AC214" i="6" s="1"/>
  <c r="Z223" i="6"/>
  <c r="Z213" i="6"/>
  <c r="Z214" i="6" s="1"/>
  <c r="AA213" i="6"/>
  <c r="AA214" i="6" s="1"/>
  <c r="AB204" i="6"/>
  <c r="Z204" i="6"/>
  <c r="AC204" i="6"/>
  <c r="AA205" i="6"/>
  <c r="AB205" i="6"/>
  <c r="Z205" i="6"/>
  <c r="AC205" i="6"/>
  <c r="AA197" i="6"/>
  <c r="AC197" i="6"/>
  <c r="AB197" i="6"/>
  <c r="Z197" i="6"/>
  <c r="AC189" i="6"/>
  <c r="AC190" i="6" s="1"/>
  <c r="AB190" i="6"/>
  <c r="AC180" i="6"/>
  <c r="AC181" i="6" s="1"/>
  <c r="AB180" i="6"/>
  <c r="AB181" i="6" s="1"/>
  <c r="AB174" i="6"/>
  <c r="AB166" i="6"/>
  <c r="M147" i="6"/>
  <c r="S147" i="6" s="1"/>
  <c r="H148" i="1"/>
  <c r="U148" i="6"/>
  <c r="S151" i="6"/>
  <c r="T151" i="6"/>
  <c r="S152" i="6"/>
  <c r="T152" i="6"/>
  <c r="S156" i="6"/>
  <c r="M140" i="6"/>
  <c r="N140" i="6"/>
  <c r="O140" i="6"/>
  <c r="P140" i="6"/>
  <c r="M141" i="6"/>
  <c r="N141" i="6"/>
  <c r="O141" i="6"/>
  <c r="P141" i="6"/>
  <c r="M142" i="6"/>
  <c r="S142" i="6" s="1"/>
  <c r="N142" i="6"/>
  <c r="T142" i="6" s="1"/>
  <c r="O142" i="6"/>
  <c r="U142" i="6" s="1"/>
  <c r="P142" i="6"/>
  <c r="V142" i="6" s="1"/>
  <c r="M143" i="6"/>
  <c r="S143" i="6" s="1"/>
  <c r="N143" i="6"/>
  <c r="T143" i="6" s="1"/>
  <c r="O143" i="6"/>
  <c r="U143" i="6" s="1"/>
  <c r="P143" i="6"/>
  <c r="V143" i="6" s="1"/>
  <c r="M144" i="6"/>
  <c r="S144" i="6" s="1"/>
  <c r="N144" i="6"/>
  <c r="T144" i="6" s="1"/>
  <c r="O144" i="6"/>
  <c r="U144" i="6" s="1"/>
  <c r="P144" i="6"/>
  <c r="V144" i="6" s="1"/>
  <c r="M145" i="6"/>
  <c r="S145" i="6" s="1"/>
  <c r="N145" i="6"/>
  <c r="T145" i="6" s="1"/>
  <c r="O145" i="6"/>
  <c r="U145" i="6" s="1"/>
  <c r="P145" i="6"/>
  <c r="V145" i="6" s="1"/>
  <c r="M146" i="6"/>
  <c r="S146" i="6" s="1"/>
  <c r="N146" i="6"/>
  <c r="T146" i="6" s="1"/>
  <c r="O146" i="6"/>
  <c r="U146" i="6" s="1"/>
  <c r="P146" i="6"/>
  <c r="V146" i="6" s="1"/>
  <c r="N147" i="6"/>
  <c r="T147" i="6" s="1"/>
  <c r="O147" i="6"/>
  <c r="U147" i="6" s="1"/>
  <c r="P147" i="6"/>
  <c r="V147" i="6" s="1"/>
  <c r="M148" i="6"/>
  <c r="S148" i="6" s="1"/>
  <c r="P148" i="6"/>
  <c r="V148" i="6" s="1"/>
  <c r="M149" i="6"/>
  <c r="S149" i="6" s="1"/>
  <c r="N149" i="6"/>
  <c r="T149" i="6" s="1"/>
  <c r="O149" i="6"/>
  <c r="U149" i="6" s="1"/>
  <c r="V149" i="6"/>
  <c r="M150" i="6"/>
  <c r="S150" i="6" s="1"/>
  <c r="N150" i="6"/>
  <c r="T150" i="6" s="1"/>
  <c r="O150" i="6"/>
  <c r="U150" i="6" s="1"/>
  <c r="P150" i="6"/>
  <c r="V150" i="6" s="1"/>
  <c r="O151" i="6"/>
  <c r="U151" i="6" s="1"/>
  <c r="P151" i="6"/>
  <c r="V151" i="6" s="1"/>
  <c r="O152" i="6"/>
  <c r="U152" i="6" s="1"/>
  <c r="P152" i="6"/>
  <c r="V152" i="6" s="1"/>
  <c r="M153" i="6"/>
  <c r="S153" i="6" s="1"/>
  <c r="N153" i="6"/>
  <c r="T153" i="6" s="1"/>
  <c r="O153" i="6"/>
  <c r="U153" i="6" s="1"/>
  <c r="P153" i="6"/>
  <c r="V153" i="6" s="1"/>
  <c r="M154" i="6"/>
  <c r="S154" i="6" s="1"/>
  <c r="N154" i="6"/>
  <c r="T154" i="6" s="1"/>
  <c r="O154" i="6"/>
  <c r="U154" i="6" s="1"/>
  <c r="P154" i="6"/>
  <c r="V154" i="6" s="1"/>
  <c r="M155" i="6"/>
  <c r="S155" i="6" s="1"/>
  <c r="N155" i="6"/>
  <c r="T155" i="6" s="1"/>
  <c r="O155" i="6"/>
  <c r="U155" i="6" s="1"/>
  <c r="P155" i="6"/>
  <c r="V155" i="6" s="1"/>
  <c r="N156" i="6"/>
  <c r="T156" i="6" s="1"/>
  <c r="O156" i="6"/>
  <c r="U156" i="6" s="1"/>
  <c r="P156" i="6"/>
  <c r="V156" i="6" s="1"/>
  <c r="M157" i="6"/>
  <c r="S157" i="6" s="1"/>
  <c r="T157" i="6"/>
  <c r="O157" i="6"/>
  <c r="U157" i="6" s="1"/>
  <c r="P157" i="6"/>
  <c r="V157" i="6" s="1"/>
  <c r="M158" i="6"/>
  <c r="S158" i="6" s="1"/>
  <c r="Z158" i="6" s="1"/>
  <c r="N158" i="6"/>
  <c r="T158" i="6" s="1"/>
  <c r="AA158" i="6" s="1"/>
  <c r="O158" i="6"/>
  <c r="U158" i="6" s="1"/>
  <c r="P158" i="6"/>
  <c r="V158" i="6" s="1"/>
  <c r="AC158" i="6" l="1"/>
  <c r="AC159" i="6" s="1"/>
  <c r="AB158" i="6"/>
  <c r="AB159" i="6" s="1"/>
  <c r="AA159" i="6"/>
  <c r="Z159" i="6"/>
  <c r="AA149" i="6"/>
  <c r="AA150" i="6" s="1"/>
  <c r="AC149" i="6"/>
  <c r="AC150" i="6" s="1"/>
  <c r="AB149" i="6"/>
  <c r="AB150" i="6" s="1"/>
  <c r="Z149" i="6"/>
  <c r="Z150" i="6" s="1"/>
  <c r="V140" i="6"/>
  <c r="N133" i="6"/>
  <c r="T133" i="6" s="1"/>
  <c r="N130" i="6"/>
  <c r="T130" i="6" s="1"/>
  <c r="N129" i="6"/>
  <c r="T129" i="6" s="1"/>
  <c r="N131" i="6"/>
  <c r="T131" i="6" s="1"/>
  <c r="N127" i="6"/>
  <c r="T127" i="6" s="1"/>
  <c r="N112" i="6"/>
  <c r="T112" i="6" s="1"/>
  <c r="N119" i="6"/>
  <c r="T119" i="6" s="1"/>
  <c r="O112" i="6"/>
  <c r="U112" i="6" s="1"/>
  <c r="M112" i="6"/>
  <c r="S112" i="6" s="1"/>
  <c r="M130" i="6"/>
  <c r="S130" i="6" s="1"/>
  <c r="O130" i="6"/>
  <c r="U130" i="6" s="1"/>
  <c r="P130" i="6"/>
  <c r="V130" i="6" s="1"/>
  <c r="M131" i="6"/>
  <c r="S131" i="6" s="1"/>
  <c r="O131" i="6"/>
  <c r="U131" i="6" s="1"/>
  <c r="P131" i="6"/>
  <c r="V131" i="6" s="1"/>
  <c r="M132" i="6"/>
  <c r="S132" i="6" s="1"/>
  <c r="N132" i="6"/>
  <c r="T132" i="6" s="1"/>
  <c r="O132" i="6"/>
  <c r="U132" i="6" s="1"/>
  <c r="P132" i="6"/>
  <c r="V132" i="6" s="1"/>
  <c r="M133" i="6"/>
  <c r="S133" i="6" s="1"/>
  <c r="O133" i="6"/>
  <c r="U133" i="6" s="1"/>
  <c r="P133" i="6"/>
  <c r="V133" i="6" s="1"/>
  <c r="M134" i="6"/>
  <c r="S134" i="6" s="1"/>
  <c r="N134" i="6"/>
  <c r="T134" i="6" s="1"/>
  <c r="O134" i="6"/>
  <c r="U134" i="6" s="1"/>
  <c r="P134" i="6"/>
  <c r="V134" i="6" s="1"/>
  <c r="M135" i="6"/>
  <c r="S135" i="6" s="1"/>
  <c r="N135" i="6"/>
  <c r="T135" i="6" s="1"/>
  <c r="O135" i="6"/>
  <c r="U135" i="6" s="1"/>
  <c r="P135" i="6"/>
  <c r="V135" i="6" s="1"/>
  <c r="M136" i="6"/>
  <c r="S136" i="6" s="1"/>
  <c r="N136" i="6"/>
  <c r="T136" i="6" s="1"/>
  <c r="O136" i="6"/>
  <c r="U136" i="6" s="1"/>
  <c r="P136" i="6"/>
  <c r="V136" i="6" s="1"/>
  <c r="M137" i="6"/>
  <c r="S137" i="6" s="1"/>
  <c r="N137" i="6"/>
  <c r="T137" i="6" s="1"/>
  <c r="O137" i="6"/>
  <c r="U137" i="6" s="1"/>
  <c r="P137" i="6"/>
  <c r="V137" i="6" s="1"/>
  <c r="M138" i="6"/>
  <c r="S138" i="6" s="1"/>
  <c r="N138" i="6"/>
  <c r="T138" i="6" s="1"/>
  <c r="O138" i="6"/>
  <c r="U138" i="6" s="1"/>
  <c r="P138" i="6"/>
  <c r="V138" i="6" s="1"/>
  <c r="M139" i="6"/>
  <c r="S139" i="6" s="1"/>
  <c r="N139" i="6"/>
  <c r="T139" i="6" s="1"/>
  <c r="O139" i="6"/>
  <c r="U139" i="6" s="1"/>
  <c r="P139" i="6"/>
  <c r="V139" i="6" s="1"/>
  <c r="S140" i="6"/>
  <c r="T140" i="6"/>
  <c r="U140" i="6"/>
  <c r="S141" i="6"/>
  <c r="Z141" i="6" s="1"/>
  <c r="T141" i="6"/>
  <c r="AA141" i="6" s="1"/>
  <c r="U141" i="6"/>
  <c r="AB141" i="6" s="1"/>
  <c r="V141" i="6"/>
  <c r="T141" i="1"/>
  <c r="H140" i="1"/>
  <c r="H135" i="1"/>
  <c r="H134" i="1"/>
  <c r="H133" i="1"/>
  <c r="H132" i="1"/>
  <c r="T135" i="1"/>
  <c r="T136" i="1"/>
  <c r="T137" i="1"/>
  <c r="T138" i="1"/>
  <c r="T139" i="1"/>
  <c r="T140" i="1"/>
  <c r="M129" i="6"/>
  <c r="S129" i="6" s="1"/>
  <c r="M127" i="6"/>
  <c r="S127" i="6" s="1"/>
  <c r="M126" i="6"/>
  <c r="S126" i="6" s="1"/>
  <c r="N126" i="6"/>
  <c r="T126" i="6" s="1"/>
  <c r="O126" i="6"/>
  <c r="U126" i="6" s="1"/>
  <c r="P126" i="6"/>
  <c r="V126" i="6" s="1"/>
  <c r="O127" i="6"/>
  <c r="U127" i="6" s="1"/>
  <c r="P127" i="6"/>
  <c r="V127" i="6" s="1"/>
  <c r="M128" i="6"/>
  <c r="S128" i="6" s="1"/>
  <c r="N128" i="6"/>
  <c r="T128" i="6" s="1"/>
  <c r="O128" i="6"/>
  <c r="U128" i="6" s="1"/>
  <c r="P128" i="6"/>
  <c r="V128" i="6" s="1"/>
  <c r="O129" i="6"/>
  <c r="U129" i="6" s="1"/>
  <c r="P129" i="6"/>
  <c r="V129" i="6" s="1"/>
  <c r="M121" i="6"/>
  <c r="S121" i="6" s="1"/>
  <c r="N121" i="6"/>
  <c r="T121" i="6" s="1"/>
  <c r="O121" i="6"/>
  <c r="U121" i="6" s="1"/>
  <c r="P121" i="6"/>
  <c r="V121" i="6" s="1"/>
  <c r="M122" i="6"/>
  <c r="S122" i="6" s="1"/>
  <c r="N122" i="6"/>
  <c r="T122" i="6" s="1"/>
  <c r="O122" i="6"/>
  <c r="U122" i="6" s="1"/>
  <c r="P122" i="6"/>
  <c r="V122" i="6" s="1"/>
  <c r="M123" i="6"/>
  <c r="S123" i="6" s="1"/>
  <c r="N123" i="6"/>
  <c r="T123" i="6" s="1"/>
  <c r="O123" i="6"/>
  <c r="U123" i="6" s="1"/>
  <c r="P123" i="6"/>
  <c r="V123" i="6" s="1"/>
  <c r="M124" i="6"/>
  <c r="S124" i="6" s="1"/>
  <c r="N124" i="6"/>
  <c r="T124" i="6" s="1"/>
  <c r="O124" i="6"/>
  <c r="U124" i="6" s="1"/>
  <c r="P124" i="6"/>
  <c r="V124" i="6" s="1"/>
  <c r="M125" i="6"/>
  <c r="S125" i="6" s="1"/>
  <c r="N125" i="6"/>
  <c r="T125" i="6" s="1"/>
  <c r="O125" i="6"/>
  <c r="U125" i="6" s="1"/>
  <c r="P125" i="6"/>
  <c r="V125" i="6" s="1"/>
  <c r="T126" i="1"/>
  <c r="T127" i="1"/>
  <c r="T128" i="1"/>
  <c r="T129" i="1"/>
  <c r="T130" i="1"/>
  <c r="T131" i="1"/>
  <c r="T132" i="1"/>
  <c r="T133" i="1"/>
  <c r="T134" i="1"/>
  <c r="H123" i="1"/>
  <c r="H122" i="1"/>
  <c r="H120" i="1"/>
  <c r="N117" i="6"/>
  <c r="T117" i="6" s="1"/>
  <c r="H119" i="1"/>
  <c r="T118" i="1"/>
  <c r="T119" i="1"/>
  <c r="T120" i="1"/>
  <c r="T121" i="1"/>
  <c r="T122" i="1"/>
  <c r="T123" i="1"/>
  <c r="T124" i="1"/>
  <c r="T125" i="1"/>
  <c r="T115" i="1"/>
  <c r="T114" i="1"/>
  <c r="T113" i="1"/>
  <c r="H113" i="1"/>
  <c r="P107" i="6"/>
  <c r="V107" i="6" s="1"/>
  <c r="P108" i="6"/>
  <c r="V108" i="6" s="1"/>
  <c r="P109" i="6"/>
  <c r="V109" i="6" s="1"/>
  <c r="P110" i="6"/>
  <c r="V110" i="6" s="1"/>
  <c r="P111" i="6"/>
  <c r="V111" i="6" s="1"/>
  <c r="P112" i="6"/>
  <c r="V112" i="6" s="1"/>
  <c r="P113" i="6"/>
  <c r="V113" i="6" s="1"/>
  <c r="P114" i="6"/>
  <c r="V114" i="6" s="1"/>
  <c r="P115" i="6"/>
  <c r="V115" i="6" s="1"/>
  <c r="P116" i="6"/>
  <c r="V116" i="6" s="1"/>
  <c r="P117" i="6"/>
  <c r="V117" i="6" s="1"/>
  <c r="P118" i="6"/>
  <c r="V118" i="6" s="1"/>
  <c r="P119" i="6"/>
  <c r="V119" i="6" s="1"/>
  <c r="P120" i="6"/>
  <c r="V120" i="6" s="1"/>
  <c r="P105" i="6"/>
  <c r="V105" i="6" s="1"/>
  <c r="P106" i="6"/>
  <c r="V106" i="6" s="1"/>
  <c r="M108" i="6"/>
  <c r="S108" i="6" s="1"/>
  <c r="N108" i="6"/>
  <c r="T108" i="6" s="1"/>
  <c r="O108" i="6"/>
  <c r="U108" i="6" s="1"/>
  <c r="M109" i="6"/>
  <c r="S109" i="6" s="1"/>
  <c r="N109" i="6"/>
  <c r="T109" i="6" s="1"/>
  <c r="O109" i="6"/>
  <c r="U109" i="6" s="1"/>
  <c r="M110" i="6"/>
  <c r="S110" i="6" s="1"/>
  <c r="N110" i="6"/>
  <c r="T110" i="6" s="1"/>
  <c r="O110" i="6"/>
  <c r="U110" i="6" s="1"/>
  <c r="M111" i="6"/>
  <c r="S111" i="6" s="1"/>
  <c r="N111" i="6"/>
  <c r="T111" i="6" s="1"/>
  <c r="O111" i="6"/>
  <c r="U111" i="6" s="1"/>
  <c r="M113" i="6"/>
  <c r="S113" i="6" s="1"/>
  <c r="N113" i="6"/>
  <c r="T113" i="6" s="1"/>
  <c r="O113" i="6"/>
  <c r="U113" i="6" s="1"/>
  <c r="M114" i="6"/>
  <c r="S114" i="6" s="1"/>
  <c r="N114" i="6"/>
  <c r="T114" i="6" s="1"/>
  <c r="O114" i="6"/>
  <c r="U114" i="6" s="1"/>
  <c r="M115" i="6"/>
  <c r="S115" i="6" s="1"/>
  <c r="N115" i="6"/>
  <c r="T115" i="6" s="1"/>
  <c r="O115" i="6"/>
  <c r="U115" i="6" s="1"/>
  <c r="M116" i="6"/>
  <c r="S116" i="6" s="1"/>
  <c r="N116" i="6"/>
  <c r="T116" i="6" s="1"/>
  <c r="O116" i="6"/>
  <c r="U116" i="6" s="1"/>
  <c r="M117" i="6"/>
  <c r="S117" i="6" s="1"/>
  <c r="O117" i="6"/>
  <c r="U117" i="6" s="1"/>
  <c r="M118" i="6"/>
  <c r="S118" i="6" s="1"/>
  <c r="N118" i="6"/>
  <c r="T118" i="6" s="1"/>
  <c r="O118" i="6"/>
  <c r="U118" i="6" s="1"/>
  <c r="M119" i="6"/>
  <c r="S119" i="6" s="1"/>
  <c r="O119" i="6"/>
  <c r="U119" i="6" s="1"/>
  <c r="M120" i="6"/>
  <c r="S120" i="6" s="1"/>
  <c r="N120" i="6"/>
  <c r="T120" i="6" s="1"/>
  <c r="O120" i="6"/>
  <c r="U120" i="6" s="1"/>
  <c r="T117" i="1"/>
  <c r="T116" i="1"/>
  <c r="T112" i="1"/>
  <c r="T111" i="1"/>
  <c r="T110" i="1"/>
  <c r="T109" i="1"/>
  <c r="T108" i="1"/>
  <c r="H104" i="1"/>
  <c r="M101" i="6"/>
  <c r="S101" i="6" s="1"/>
  <c r="N101" i="6"/>
  <c r="T101" i="6" s="1"/>
  <c r="O101" i="6"/>
  <c r="U101" i="6" s="1"/>
  <c r="P101" i="6"/>
  <c r="V101" i="6" s="1"/>
  <c r="M102" i="6"/>
  <c r="S102" i="6" s="1"/>
  <c r="N102" i="6"/>
  <c r="T102" i="6" s="1"/>
  <c r="O102" i="6"/>
  <c r="U102" i="6" s="1"/>
  <c r="P102" i="6"/>
  <c r="V102" i="6" s="1"/>
  <c r="M103" i="6"/>
  <c r="S103" i="6" s="1"/>
  <c r="N103" i="6"/>
  <c r="T103" i="6" s="1"/>
  <c r="O103" i="6"/>
  <c r="U103" i="6" s="1"/>
  <c r="P103" i="6"/>
  <c r="V103" i="6" s="1"/>
  <c r="M104" i="6"/>
  <c r="S104" i="6" s="1"/>
  <c r="N104" i="6"/>
  <c r="T104" i="6" s="1"/>
  <c r="O104" i="6"/>
  <c r="U104" i="6" s="1"/>
  <c r="P104" i="6"/>
  <c r="V104" i="6" s="1"/>
  <c r="M105" i="6"/>
  <c r="S105" i="6" s="1"/>
  <c r="N105" i="6"/>
  <c r="T105" i="6" s="1"/>
  <c r="O105" i="6"/>
  <c r="U105" i="6" s="1"/>
  <c r="M106" i="6"/>
  <c r="S106" i="6" s="1"/>
  <c r="N106" i="6"/>
  <c r="T106" i="6" s="1"/>
  <c r="O106" i="6"/>
  <c r="U106" i="6" s="1"/>
  <c r="M107" i="6"/>
  <c r="S107" i="6" s="1"/>
  <c r="N107" i="6"/>
  <c r="T107" i="6" s="1"/>
  <c r="O107" i="6"/>
  <c r="U107" i="6" s="1"/>
  <c r="T98" i="1"/>
  <c r="T99" i="1"/>
  <c r="T100" i="1"/>
  <c r="T101" i="1"/>
  <c r="T102" i="1"/>
  <c r="T103" i="1"/>
  <c r="T104" i="1"/>
  <c r="T105" i="1"/>
  <c r="T106" i="1"/>
  <c r="T107" i="1"/>
  <c r="P89" i="6"/>
  <c r="V89" i="6" s="1"/>
  <c r="P88" i="6"/>
  <c r="V88" i="6" s="1"/>
  <c r="M97" i="6"/>
  <c r="S97" i="6" s="1"/>
  <c r="N97" i="6"/>
  <c r="T97" i="6" s="1"/>
  <c r="O97" i="6"/>
  <c r="U97" i="6" s="1"/>
  <c r="P97" i="6"/>
  <c r="V97" i="6" s="1"/>
  <c r="M98" i="6"/>
  <c r="S98" i="6" s="1"/>
  <c r="N98" i="6"/>
  <c r="T98" i="6" s="1"/>
  <c r="O98" i="6"/>
  <c r="U98" i="6" s="1"/>
  <c r="P98" i="6"/>
  <c r="V98" i="6" s="1"/>
  <c r="M99" i="6"/>
  <c r="S99" i="6" s="1"/>
  <c r="N99" i="6"/>
  <c r="T99" i="6" s="1"/>
  <c r="O99" i="6"/>
  <c r="U99" i="6" s="1"/>
  <c r="P99" i="6"/>
  <c r="V99" i="6" s="1"/>
  <c r="M100" i="6"/>
  <c r="S100" i="6" s="1"/>
  <c r="N100" i="6"/>
  <c r="T100" i="6" s="1"/>
  <c r="O100" i="6"/>
  <c r="U100" i="6" s="1"/>
  <c r="P100" i="6"/>
  <c r="V100" i="6" s="1"/>
  <c r="H94" i="1"/>
  <c r="T93" i="1"/>
  <c r="T94" i="1"/>
  <c r="T95" i="1"/>
  <c r="T96" i="1"/>
  <c r="T97" i="1"/>
  <c r="H93" i="1"/>
  <c r="M88" i="6"/>
  <c r="S88" i="6" s="1"/>
  <c r="N88" i="6"/>
  <c r="T88" i="6" s="1"/>
  <c r="O88" i="6"/>
  <c r="U88" i="6" s="1"/>
  <c r="M89" i="6"/>
  <c r="S89" i="6" s="1"/>
  <c r="N89" i="6"/>
  <c r="T89" i="6" s="1"/>
  <c r="O89" i="6"/>
  <c r="U89" i="6" s="1"/>
  <c r="M90" i="6"/>
  <c r="S90" i="6" s="1"/>
  <c r="N90" i="6"/>
  <c r="T90" i="6" s="1"/>
  <c r="O90" i="6"/>
  <c r="U90" i="6" s="1"/>
  <c r="P90" i="6"/>
  <c r="V90" i="6" s="1"/>
  <c r="M91" i="6"/>
  <c r="S91" i="6" s="1"/>
  <c r="N91" i="6"/>
  <c r="T91" i="6" s="1"/>
  <c r="O91" i="6"/>
  <c r="U91" i="6" s="1"/>
  <c r="P91" i="6"/>
  <c r="V91" i="6" s="1"/>
  <c r="M92" i="6"/>
  <c r="S92" i="6" s="1"/>
  <c r="N92" i="6"/>
  <c r="T92" i="6" s="1"/>
  <c r="O92" i="6"/>
  <c r="U92" i="6" s="1"/>
  <c r="P92" i="6"/>
  <c r="V92" i="6" s="1"/>
  <c r="M93" i="6"/>
  <c r="S93" i="6" s="1"/>
  <c r="N93" i="6"/>
  <c r="T93" i="6" s="1"/>
  <c r="O93" i="6"/>
  <c r="U93" i="6" s="1"/>
  <c r="P93" i="6"/>
  <c r="V93" i="6" s="1"/>
  <c r="M94" i="6"/>
  <c r="S94" i="6" s="1"/>
  <c r="N94" i="6"/>
  <c r="T94" i="6" s="1"/>
  <c r="O94" i="6"/>
  <c r="U94" i="6" s="1"/>
  <c r="P94" i="6"/>
  <c r="V94" i="6" s="1"/>
  <c r="M95" i="6"/>
  <c r="S95" i="6" s="1"/>
  <c r="N95" i="6"/>
  <c r="T95" i="6" s="1"/>
  <c r="O95" i="6"/>
  <c r="U95" i="6" s="1"/>
  <c r="P95" i="6"/>
  <c r="V95" i="6" s="1"/>
  <c r="M96" i="6"/>
  <c r="S96" i="6" s="1"/>
  <c r="N96" i="6"/>
  <c r="T96" i="6" s="1"/>
  <c r="O96" i="6"/>
  <c r="U96" i="6" s="1"/>
  <c r="P96" i="6"/>
  <c r="V96" i="6" s="1"/>
  <c r="H88" i="1"/>
  <c r="H86" i="1"/>
  <c r="H85" i="1"/>
  <c r="H84" i="1"/>
  <c r="H83" i="1"/>
  <c r="T86" i="1"/>
  <c r="T87" i="1"/>
  <c r="T88" i="1"/>
  <c r="T89" i="1"/>
  <c r="T90" i="1"/>
  <c r="T91" i="1"/>
  <c r="T92" i="1"/>
  <c r="H82" i="1"/>
  <c r="M75" i="6"/>
  <c r="S75" i="6" s="1"/>
  <c r="N75" i="6"/>
  <c r="T75" i="6" s="1"/>
  <c r="O75" i="6"/>
  <c r="U75" i="6" s="1"/>
  <c r="P75" i="6"/>
  <c r="V75" i="6" s="1"/>
  <c r="M76" i="6"/>
  <c r="S76" i="6" s="1"/>
  <c r="N76" i="6"/>
  <c r="T76" i="6" s="1"/>
  <c r="O76" i="6"/>
  <c r="U76" i="6" s="1"/>
  <c r="P76" i="6"/>
  <c r="V76" i="6" s="1"/>
  <c r="M77" i="6"/>
  <c r="S77" i="6" s="1"/>
  <c r="N77" i="6"/>
  <c r="T77" i="6" s="1"/>
  <c r="O77" i="6"/>
  <c r="U77" i="6" s="1"/>
  <c r="P77" i="6"/>
  <c r="V77" i="6" s="1"/>
  <c r="M78" i="6"/>
  <c r="S78" i="6" s="1"/>
  <c r="N78" i="6"/>
  <c r="T78" i="6" s="1"/>
  <c r="O78" i="6"/>
  <c r="U78" i="6" s="1"/>
  <c r="P78" i="6"/>
  <c r="V78" i="6" s="1"/>
  <c r="M79" i="6"/>
  <c r="S79" i="6" s="1"/>
  <c r="N79" i="6"/>
  <c r="T79" i="6" s="1"/>
  <c r="O79" i="6"/>
  <c r="U79" i="6" s="1"/>
  <c r="P79" i="6"/>
  <c r="V79" i="6" s="1"/>
  <c r="M80" i="6"/>
  <c r="S80" i="6" s="1"/>
  <c r="N80" i="6"/>
  <c r="T80" i="6" s="1"/>
  <c r="O80" i="6"/>
  <c r="U80" i="6" s="1"/>
  <c r="P80" i="6"/>
  <c r="V80" i="6" s="1"/>
  <c r="M81" i="6"/>
  <c r="S81" i="6" s="1"/>
  <c r="N81" i="6"/>
  <c r="T81" i="6" s="1"/>
  <c r="O81" i="6"/>
  <c r="U81" i="6" s="1"/>
  <c r="P81" i="6"/>
  <c r="V81" i="6" s="1"/>
  <c r="M82" i="6"/>
  <c r="S82" i="6" s="1"/>
  <c r="N82" i="6"/>
  <c r="T82" i="6" s="1"/>
  <c r="O82" i="6"/>
  <c r="U82" i="6" s="1"/>
  <c r="P82" i="6"/>
  <c r="V82" i="6" s="1"/>
  <c r="M83" i="6"/>
  <c r="S83" i="6" s="1"/>
  <c r="N83" i="6"/>
  <c r="T83" i="6" s="1"/>
  <c r="O83" i="6"/>
  <c r="U83" i="6" s="1"/>
  <c r="P83" i="6"/>
  <c r="V83" i="6" s="1"/>
  <c r="M84" i="6"/>
  <c r="S84" i="6" s="1"/>
  <c r="N84" i="6"/>
  <c r="T84" i="6" s="1"/>
  <c r="O84" i="6"/>
  <c r="U84" i="6" s="1"/>
  <c r="P84" i="6"/>
  <c r="V84" i="6" s="1"/>
  <c r="M85" i="6"/>
  <c r="S85" i="6" s="1"/>
  <c r="N85" i="6"/>
  <c r="T85" i="6" s="1"/>
  <c r="O85" i="6"/>
  <c r="U85" i="6" s="1"/>
  <c r="P85" i="6"/>
  <c r="V85" i="6" s="1"/>
  <c r="M86" i="6"/>
  <c r="S86" i="6" s="1"/>
  <c r="N86" i="6"/>
  <c r="T86" i="6" s="1"/>
  <c r="O86" i="6"/>
  <c r="U86" i="6" s="1"/>
  <c r="P86" i="6"/>
  <c r="V86" i="6" s="1"/>
  <c r="M87" i="6"/>
  <c r="S87" i="6" s="1"/>
  <c r="N87" i="6"/>
  <c r="T87" i="6" s="1"/>
  <c r="O87" i="6"/>
  <c r="U87" i="6" s="1"/>
  <c r="P87" i="6"/>
  <c r="V87" i="6" s="1"/>
  <c r="H79" i="1"/>
  <c r="H78" i="1"/>
  <c r="H77" i="1"/>
  <c r="M71" i="6"/>
  <c r="S71" i="6" s="1"/>
  <c r="N71" i="6"/>
  <c r="T71" i="6" s="1"/>
  <c r="O71" i="6"/>
  <c r="U71" i="6" s="1"/>
  <c r="P71" i="6"/>
  <c r="V71" i="6" s="1"/>
  <c r="M72" i="6"/>
  <c r="S72" i="6" s="1"/>
  <c r="N72" i="6"/>
  <c r="T72" i="6" s="1"/>
  <c r="O72" i="6"/>
  <c r="U72" i="6" s="1"/>
  <c r="P72" i="6"/>
  <c r="V72" i="6" s="1"/>
  <c r="M73" i="6"/>
  <c r="S73" i="6" s="1"/>
  <c r="N73" i="6"/>
  <c r="T73" i="6" s="1"/>
  <c r="O73" i="6"/>
  <c r="U73" i="6" s="1"/>
  <c r="P73" i="6"/>
  <c r="V73" i="6" s="1"/>
  <c r="M74" i="6"/>
  <c r="S74" i="6" s="1"/>
  <c r="N74" i="6"/>
  <c r="T74" i="6" s="1"/>
  <c r="O74" i="6"/>
  <c r="U74" i="6" s="1"/>
  <c r="P74" i="6"/>
  <c r="V74" i="6" s="1"/>
  <c r="T85" i="1"/>
  <c r="T84" i="1"/>
  <c r="T83" i="1"/>
  <c r="T82" i="1"/>
  <c r="T81" i="1"/>
  <c r="T80" i="1"/>
  <c r="T79" i="1"/>
  <c r="T78" i="1"/>
  <c r="T77" i="1"/>
  <c r="T72" i="1"/>
  <c r="T73" i="1"/>
  <c r="T74" i="1"/>
  <c r="T75" i="1"/>
  <c r="T76" i="1"/>
  <c r="T71" i="1"/>
  <c r="T70" i="1"/>
  <c r="T67" i="1"/>
  <c r="T68" i="1"/>
  <c r="T69" i="1"/>
  <c r="T66" i="1"/>
  <c r="M63" i="6"/>
  <c r="S63" i="6" s="1"/>
  <c r="T64" i="1"/>
  <c r="T65" i="1"/>
  <c r="T63" i="1"/>
  <c r="T62" i="1"/>
  <c r="T61" i="1"/>
  <c r="M61" i="6"/>
  <c r="S61" i="6" s="1"/>
  <c r="N61" i="6"/>
  <c r="T61" i="6" s="1"/>
  <c r="O61" i="6"/>
  <c r="U61" i="6" s="1"/>
  <c r="P61" i="6"/>
  <c r="V61" i="6" s="1"/>
  <c r="M62" i="6"/>
  <c r="S62" i="6" s="1"/>
  <c r="N62" i="6"/>
  <c r="T62" i="6" s="1"/>
  <c r="O62" i="6"/>
  <c r="U62" i="6" s="1"/>
  <c r="P62" i="6"/>
  <c r="V62" i="6" s="1"/>
  <c r="N63" i="6"/>
  <c r="T63" i="6" s="1"/>
  <c r="O63" i="6"/>
  <c r="U63" i="6" s="1"/>
  <c r="P63" i="6"/>
  <c r="V63" i="6" s="1"/>
  <c r="M64" i="6"/>
  <c r="S64" i="6" s="1"/>
  <c r="N64" i="6"/>
  <c r="T64" i="6" s="1"/>
  <c r="O64" i="6"/>
  <c r="U64" i="6" s="1"/>
  <c r="P64" i="6"/>
  <c r="V64" i="6" s="1"/>
  <c r="M65" i="6"/>
  <c r="S65" i="6" s="1"/>
  <c r="N65" i="6"/>
  <c r="T65" i="6" s="1"/>
  <c r="O65" i="6"/>
  <c r="U65" i="6" s="1"/>
  <c r="P65" i="6"/>
  <c r="V65" i="6" s="1"/>
  <c r="M66" i="6"/>
  <c r="S66" i="6" s="1"/>
  <c r="N66" i="6"/>
  <c r="T66" i="6" s="1"/>
  <c r="O66" i="6"/>
  <c r="U66" i="6" s="1"/>
  <c r="P66" i="6"/>
  <c r="V66" i="6" s="1"/>
  <c r="M67" i="6"/>
  <c r="S67" i="6" s="1"/>
  <c r="N67" i="6"/>
  <c r="T67" i="6" s="1"/>
  <c r="O67" i="6"/>
  <c r="U67" i="6" s="1"/>
  <c r="P67" i="6"/>
  <c r="V67" i="6" s="1"/>
  <c r="M68" i="6"/>
  <c r="S68" i="6" s="1"/>
  <c r="N68" i="6"/>
  <c r="T68" i="6" s="1"/>
  <c r="O68" i="6"/>
  <c r="U68" i="6" s="1"/>
  <c r="P68" i="6"/>
  <c r="V68" i="6" s="1"/>
  <c r="M69" i="6"/>
  <c r="S69" i="6" s="1"/>
  <c r="N69" i="6"/>
  <c r="T69" i="6" s="1"/>
  <c r="O69" i="6"/>
  <c r="U69" i="6" s="1"/>
  <c r="P69" i="6"/>
  <c r="V69" i="6" s="1"/>
  <c r="M70" i="6"/>
  <c r="S70" i="6" s="1"/>
  <c r="N70" i="6"/>
  <c r="T70" i="6" s="1"/>
  <c r="O70" i="6"/>
  <c r="U70" i="6" s="1"/>
  <c r="P70" i="6"/>
  <c r="V70" i="6" s="1"/>
  <c r="M60" i="6"/>
  <c r="S60" i="6" s="1"/>
  <c r="N60" i="6"/>
  <c r="T60" i="6" s="1"/>
  <c r="O60" i="6"/>
  <c r="U60" i="6" s="1"/>
  <c r="P60" i="6"/>
  <c r="V60" i="6" s="1"/>
  <c r="M59" i="6"/>
  <c r="S59" i="6" s="1"/>
  <c r="N59" i="6"/>
  <c r="T59" i="6" s="1"/>
  <c r="O59" i="6"/>
  <c r="U59" i="6" s="1"/>
  <c r="P59" i="6"/>
  <c r="V59" i="6" s="1"/>
  <c r="T60" i="1"/>
  <c r="T59" i="1"/>
  <c r="H59" i="1"/>
  <c r="T58" i="1"/>
  <c r="T57" i="1"/>
  <c r="T56" i="1"/>
  <c r="T55" i="1"/>
  <c r="T54" i="1"/>
  <c r="T53" i="1"/>
  <c r="T52" i="1"/>
  <c r="T51" i="1"/>
  <c r="P58" i="6"/>
  <c r="V58" i="6" s="1"/>
  <c r="O58" i="6"/>
  <c r="U58" i="6" s="1"/>
  <c r="N58" i="6"/>
  <c r="T58" i="6" s="1"/>
  <c r="M58" i="6"/>
  <c r="S58" i="6" s="1"/>
  <c r="P57" i="6"/>
  <c r="V57" i="6" s="1"/>
  <c r="O57" i="6"/>
  <c r="U57" i="6" s="1"/>
  <c r="N57" i="6"/>
  <c r="T57" i="6" s="1"/>
  <c r="M57" i="6"/>
  <c r="S57" i="6" s="1"/>
  <c r="P56" i="6"/>
  <c r="V56" i="6" s="1"/>
  <c r="O56" i="6"/>
  <c r="U56" i="6" s="1"/>
  <c r="N56" i="6"/>
  <c r="T56" i="6" s="1"/>
  <c r="M56" i="6"/>
  <c r="S56" i="6" s="1"/>
  <c r="P55" i="6"/>
  <c r="V55" i="6" s="1"/>
  <c r="O55" i="6"/>
  <c r="U55" i="6" s="1"/>
  <c r="N55" i="6"/>
  <c r="T55" i="6" s="1"/>
  <c r="M55" i="6"/>
  <c r="S55" i="6" s="1"/>
  <c r="P54" i="6"/>
  <c r="V54" i="6" s="1"/>
  <c r="O54" i="6"/>
  <c r="U54" i="6" s="1"/>
  <c r="N54" i="6"/>
  <c r="T54" i="6" s="1"/>
  <c r="M54" i="6"/>
  <c r="S54" i="6" s="1"/>
  <c r="P53" i="6"/>
  <c r="V53" i="6" s="1"/>
  <c r="O53" i="6"/>
  <c r="U53" i="6" s="1"/>
  <c r="N53" i="6"/>
  <c r="T53" i="6" s="1"/>
  <c r="M53" i="6"/>
  <c r="S53" i="6" s="1"/>
  <c r="P52" i="6"/>
  <c r="V52" i="6" s="1"/>
  <c r="O52" i="6"/>
  <c r="U52" i="6" s="1"/>
  <c r="N52" i="6"/>
  <c r="T52" i="6" s="1"/>
  <c r="M52" i="6"/>
  <c r="S52" i="6" s="1"/>
  <c r="P51" i="6"/>
  <c r="V51" i="6" s="1"/>
  <c r="O51" i="6"/>
  <c r="U51" i="6" s="1"/>
  <c r="N51" i="6"/>
  <c r="T51" i="6" s="1"/>
  <c r="M51" i="6"/>
  <c r="S51" i="6" s="1"/>
  <c r="P50" i="6"/>
  <c r="V50" i="6" s="1"/>
  <c r="O50" i="6"/>
  <c r="U50" i="6" s="1"/>
  <c r="N50" i="6"/>
  <c r="T50" i="6" s="1"/>
  <c r="M50" i="6"/>
  <c r="S50" i="6" s="1"/>
  <c r="P49" i="6"/>
  <c r="V49" i="6" s="1"/>
  <c r="O49" i="6"/>
  <c r="U49" i="6" s="1"/>
  <c r="N49" i="6"/>
  <c r="T49" i="6" s="1"/>
  <c r="M49" i="6"/>
  <c r="S49" i="6" s="1"/>
  <c r="H51" i="1"/>
  <c r="T50" i="1"/>
  <c r="T49" i="1"/>
  <c r="T48" i="1"/>
  <c r="T47" i="1"/>
  <c r="T46" i="1"/>
  <c r="T45" i="1"/>
  <c r="T44" i="1"/>
  <c r="H44" i="1"/>
  <c r="T43" i="1"/>
  <c r="T42" i="1"/>
  <c r="M41" i="6"/>
  <c r="S41" i="6" s="1"/>
  <c r="N41" i="6"/>
  <c r="T41" i="6" s="1"/>
  <c r="O41" i="6"/>
  <c r="U41" i="6" s="1"/>
  <c r="P41" i="6"/>
  <c r="V41" i="6" s="1"/>
  <c r="P32" i="6"/>
  <c r="V32" i="6" s="1"/>
  <c r="P25" i="6"/>
  <c r="V25" i="6" s="1"/>
  <c r="P27" i="6"/>
  <c r="V27" i="6" s="1"/>
  <c r="P26" i="6"/>
  <c r="V26" i="6" s="1"/>
  <c r="T40" i="1"/>
  <c r="T41" i="1"/>
  <c r="O35" i="6"/>
  <c r="U35" i="6" s="1"/>
  <c r="M35" i="6"/>
  <c r="S35" i="6" s="1"/>
  <c r="N35" i="6"/>
  <c r="T35" i="6" s="1"/>
  <c r="P35" i="6"/>
  <c r="V35" i="6" s="1"/>
  <c r="M36" i="6"/>
  <c r="S36" i="6" s="1"/>
  <c r="N36" i="6"/>
  <c r="T36" i="6" s="1"/>
  <c r="O36" i="6"/>
  <c r="U36" i="6" s="1"/>
  <c r="P36" i="6"/>
  <c r="V36" i="6" s="1"/>
  <c r="M37" i="6"/>
  <c r="S37" i="6" s="1"/>
  <c r="N37" i="6"/>
  <c r="T37" i="6" s="1"/>
  <c r="O37" i="6"/>
  <c r="U37" i="6" s="1"/>
  <c r="P37" i="6"/>
  <c r="V37" i="6" s="1"/>
  <c r="M38" i="6"/>
  <c r="S38" i="6" s="1"/>
  <c r="N38" i="6"/>
  <c r="T38" i="6" s="1"/>
  <c r="O38" i="6"/>
  <c r="U38" i="6" s="1"/>
  <c r="P38" i="6"/>
  <c r="V38" i="6" s="1"/>
  <c r="M39" i="6"/>
  <c r="S39" i="6" s="1"/>
  <c r="N39" i="6"/>
  <c r="T39" i="6" s="1"/>
  <c r="O39" i="6"/>
  <c r="U39" i="6" s="1"/>
  <c r="P39" i="6"/>
  <c r="V39" i="6" s="1"/>
  <c r="M40" i="6"/>
  <c r="S40" i="6" s="1"/>
  <c r="N40" i="6"/>
  <c r="T40" i="6" s="1"/>
  <c r="O40" i="6"/>
  <c r="U40" i="6" s="1"/>
  <c r="P40" i="6"/>
  <c r="V40" i="6" s="1"/>
  <c r="M42" i="6"/>
  <c r="S42" i="6" s="1"/>
  <c r="N42" i="6"/>
  <c r="T42" i="6" s="1"/>
  <c r="O42" i="6"/>
  <c r="U42" i="6" s="1"/>
  <c r="P42" i="6"/>
  <c r="V42" i="6" s="1"/>
  <c r="M43" i="6"/>
  <c r="S43" i="6" s="1"/>
  <c r="N43" i="6"/>
  <c r="T43" i="6" s="1"/>
  <c r="O43" i="6"/>
  <c r="U43" i="6" s="1"/>
  <c r="P43" i="6"/>
  <c r="V43" i="6" s="1"/>
  <c r="M44" i="6"/>
  <c r="S44" i="6" s="1"/>
  <c r="N44" i="6"/>
  <c r="T44" i="6" s="1"/>
  <c r="O44" i="6"/>
  <c r="U44" i="6" s="1"/>
  <c r="P44" i="6"/>
  <c r="V44" i="6" s="1"/>
  <c r="M45" i="6"/>
  <c r="S45" i="6" s="1"/>
  <c r="N45" i="6"/>
  <c r="T45" i="6" s="1"/>
  <c r="O45" i="6"/>
  <c r="U45" i="6" s="1"/>
  <c r="P45" i="6"/>
  <c r="V45" i="6" s="1"/>
  <c r="M46" i="6"/>
  <c r="S46" i="6" s="1"/>
  <c r="N46" i="6"/>
  <c r="T46" i="6" s="1"/>
  <c r="O46" i="6"/>
  <c r="U46" i="6" s="1"/>
  <c r="P46" i="6"/>
  <c r="V46" i="6" s="1"/>
  <c r="M47" i="6"/>
  <c r="S47" i="6" s="1"/>
  <c r="N47" i="6"/>
  <c r="T47" i="6" s="1"/>
  <c r="O47" i="6"/>
  <c r="U47" i="6" s="1"/>
  <c r="P47" i="6"/>
  <c r="V47" i="6" s="1"/>
  <c r="M48" i="6"/>
  <c r="S48" i="6" s="1"/>
  <c r="N48" i="6"/>
  <c r="T48" i="6" s="1"/>
  <c r="O48" i="6"/>
  <c r="U48" i="6" s="1"/>
  <c r="P48" i="6"/>
  <c r="V48" i="6" s="1"/>
  <c r="H37" i="1"/>
  <c r="H35" i="1"/>
  <c r="H34" i="1"/>
  <c r="H33" i="1"/>
  <c r="O27" i="6"/>
  <c r="U27" i="6" s="1"/>
  <c r="N27" i="6"/>
  <c r="T27" i="6" s="1"/>
  <c r="M27" i="6"/>
  <c r="S27" i="6" s="1"/>
  <c r="H30" i="1"/>
  <c r="H25" i="1"/>
  <c r="H21" i="1"/>
  <c r="H22" i="1"/>
  <c r="M19" i="6"/>
  <c r="S19" i="6" s="1"/>
  <c r="N19" i="6"/>
  <c r="T19" i="6" s="1"/>
  <c r="O19" i="6"/>
  <c r="U19" i="6" s="1"/>
  <c r="P19" i="6"/>
  <c r="V19" i="6" s="1"/>
  <c r="M20" i="6"/>
  <c r="S20" i="6" s="1"/>
  <c r="N20" i="6"/>
  <c r="T20" i="6" s="1"/>
  <c r="O20" i="6"/>
  <c r="U20" i="6" s="1"/>
  <c r="P20" i="6"/>
  <c r="V20" i="6" s="1"/>
  <c r="M21" i="6"/>
  <c r="S21" i="6" s="1"/>
  <c r="N21" i="6"/>
  <c r="T21" i="6" s="1"/>
  <c r="O21" i="6"/>
  <c r="U21" i="6" s="1"/>
  <c r="P21" i="6"/>
  <c r="V21" i="6" s="1"/>
  <c r="M22" i="6"/>
  <c r="S22" i="6" s="1"/>
  <c r="N22" i="6"/>
  <c r="T22" i="6" s="1"/>
  <c r="O22" i="6"/>
  <c r="U22" i="6" s="1"/>
  <c r="P22" i="6"/>
  <c r="V22" i="6" s="1"/>
  <c r="M23" i="6"/>
  <c r="S23" i="6" s="1"/>
  <c r="N23" i="6"/>
  <c r="T23" i="6" s="1"/>
  <c r="O23" i="6"/>
  <c r="U23" i="6" s="1"/>
  <c r="P23" i="6"/>
  <c r="V23" i="6" s="1"/>
  <c r="M24" i="6"/>
  <c r="S24" i="6" s="1"/>
  <c r="N24" i="6"/>
  <c r="T24" i="6" s="1"/>
  <c r="O24" i="6"/>
  <c r="U24" i="6" s="1"/>
  <c r="P24" i="6"/>
  <c r="V24" i="6" s="1"/>
  <c r="M25" i="6"/>
  <c r="S25" i="6" s="1"/>
  <c r="N25" i="6"/>
  <c r="T25" i="6" s="1"/>
  <c r="O25" i="6"/>
  <c r="U25" i="6" s="1"/>
  <c r="M26" i="6"/>
  <c r="S26" i="6" s="1"/>
  <c r="N26" i="6"/>
  <c r="T26" i="6" s="1"/>
  <c r="O26" i="6"/>
  <c r="U26" i="6" s="1"/>
  <c r="M28" i="6"/>
  <c r="S28" i="6" s="1"/>
  <c r="N28" i="6"/>
  <c r="T28" i="6" s="1"/>
  <c r="O28" i="6"/>
  <c r="U28" i="6" s="1"/>
  <c r="P28" i="6"/>
  <c r="V28" i="6" s="1"/>
  <c r="M29" i="6"/>
  <c r="S29" i="6" s="1"/>
  <c r="N29" i="6"/>
  <c r="T29" i="6" s="1"/>
  <c r="O29" i="6"/>
  <c r="U29" i="6" s="1"/>
  <c r="P29" i="6"/>
  <c r="V29" i="6" s="1"/>
  <c r="M30" i="6"/>
  <c r="S30" i="6" s="1"/>
  <c r="N30" i="6"/>
  <c r="T30" i="6" s="1"/>
  <c r="O30" i="6"/>
  <c r="U30" i="6" s="1"/>
  <c r="P30" i="6"/>
  <c r="V30" i="6" s="1"/>
  <c r="M31" i="6"/>
  <c r="S31" i="6" s="1"/>
  <c r="N31" i="6"/>
  <c r="T31" i="6" s="1"/>
  <c r="O31" i="6"/>
  <c r="U31" i="6" s="1"/>
  <c r="P31" i="6"/>
  <c r="V31" i="6" s="1"/>
  <c r="M32" i="6"/>
  <c r="S32" i="6" s="1"/>
  <c r="N32" i="6"/>
  <c r="T32" i="6" s="1"/>
  <c r="O32" i="6"/>
  <c r="U32" i="6" s="1"/>
  <c r="M33" i="6"/>
  <c r="S33" i="6" s="1"/>
  <c r="N33" i="6"/>
  <c r="T33" i="6" s="1"/>
  <c r="O33" i="6"/>
  <c r="U33" i="6" s="1"/>
  <c r="P33" i="6"/>
  <c r="V33" i="6" s="1"/>
  <c r="M34" i="6"/>
  <c r="S34" i="6" s="1"/>
  <c r="N34" i="6"/>
  <c r="T34" i="6" s="1"/>
  <c r="O34" i="6"/>
  <c r="U34" i="6" s="1"/>
  <c r="P34" i="6"/>
  <c r="V34" i="6" s="1"/>
  <c r="M13" i="6"/>
  <c r="S13" i="6" s="1"/>
  <c r="N13" i="6"/>
  <c r="T13" i="6" s="1"/>
  <c r="O13" i="6"/>
  <c r="U13" i="6" s="1"/>
  <c r="P13" i="6"/>
  <c r="V13" i="6" s="1"/>
  <c r="M14" i="6"/>
  <c r="S14" i="6" s="1"/>
  <c r="N14" i="6"/>
  <c r="T14" i="6" s="1"/>
  <c r="O14" i="6"/>
  <c r="U14" i="6" s="1"/>
  <c r="P14" i="6"/>
  <c r="V14" i="6" s="1"/>
  <c r="M15" i="6"/>
  <c r="S15" i="6" s="1"/>
  <c r="N15" i="6"/>
  <c r="T15" i="6" s="1"/>
  <c r="O15" i="6"/>
  <c r="U15" i="6" s="1"/>
  <c r="P15" i="6"/>
  <c r="V15" i="6" s="1"/>
  <c r="M16" i="6"/>
  <c r="S16" i="6" s="1"/>
  <c r="N16" i="6"/>
  <c r="T16" i="6" s="1"/>
  <c r="O16" i="6"/>
  <c r="U16" i="6" s="1"/>
  <c r="P16" i="6"/>
  <c r="V16" i="6" s="1"/>
  <c r="M17" i="6"/>
  <c r="S17" i="6" s="1"/>
  <c r="N17" i="6"/>
  <c r="T17" i="6" s="1"/>
  <c r="O17" i="6"/>
  <c r="U17" i="6" s="1"/>
  <c r="P17" i="6"/>
  <c r="V17" i="6" s="1"/>
  <c r="M18" i="6"/>
  <c r="S18" i="6" s="1"/>
  <c r="N18" i="6"/>
  <c r="T18" i="6" s="1"/>
  <c r="O18" i="6"/>
  <c r="U18" i="6" s="1"/>
  <c r="P18" i="6"/>
  <c r="V18" i="6" s="1"/>
  <c r="P12" i="6"/>
  <c r="V12" i="6" s="1"/>
  <c r="O12" i="6"/>
  <c r="U12" i="6" s="1"/>
  <c r="N12" i="6"/>
  <c r="T12" i="6" s="1"/>
  <c r="M12" i="6"/>
  <c r="S12" i="6" s="1"/>
  <c r="C15" i="1"/>
  <c r="D15" i="1" s="1"/>
  <c r="H14" i="1"/>
  <c r="M5" i="6"/>
  <c r="S5" i="6" s="1"/>
  <c r="N5" i="6"/>
  <c r="T5" i="6" s="1"/>
  <c r="O5" i="6"/>
  <c r="U5" i="6" s="1"/>
  <c r="P5" i="6"/>
  <c r="V5" i="6" s="1"/>
  <c r="M6" i="6"/>
  <c r="S6" i="6" s="1"/>
  <c r="N6" i="6"/>
  <c r="T6" i="6" s="1"/>
  <c r="O6" i="6"/>
  <c r="U6" i="6" s="1"/>
  <c r="P6" i="6"/>
  <c r="V6" i="6" s="1"/>
  <c r="M7" i="6"/>
  <c r="S7" i="6" s="1"/>
  <c r="N7" i="6"/>
  <c r="T7" i="6" s="1"/>
  <c r="O7" i="6"/>
  <c r="U7" i="6" s="1"/>
  <c r="P7" i="6"/>
  <c r="V7" i="6" s="1"/>
  <c r="M8" i="6"/>
  <c r="S8" i="6" s="1"/>
  <c r="N8" i="6"/>
  <c r="T8" i="6" s="1"/>
  <c r="O8" i="6"/>
  <c r="U8" i="6" s="1"/>
  <c r="P8" i="6"/>
  <c r="V8" i="6" s="1"/>
  <c r="M9" i="6"/>
  <c r="S9" i="6" s="1"/>
  <c r="N9" i="6"/>
  <c r="T9" i="6" s="1"/>
  <c r="O9" i="6"/>
  <c r="U9" i="6" s="1"/>
  <c r="P9" i="6"/>
  <c r="V9" i="6" s="1"/>
  <c r="M10" i="6"/>
  <c r="S10" i="6" s="1"/>
  <c r="N10" i="6"/>
  <c r="T10" i="6" s="1"/>
  <c r="O10" i="6"/>
  <c r="U10" i="6" s="1"/>
  <c r="P10" i="6"/>
  <c r="V10" i="6" s="1"/>
  <c r="M11" i="6"/>
  <c r="S11" i="6" s="1"/>
  <c r="N11" i="6"/>
  <c r="T11" i="6" s="1"/>
  <c r="O11" i="6"/>
  <c r="U11" i="6" s="1"/>
  <c r="P11" i="6"/>
  <c r="V11" i="6" s="1"/>
  <c r="H8" i="1"/>
  <c r="AB103" i="6" l="1"/>
  <c r="AB104" i="6" s="1"/>
  <c r="Z136" i="6"/>
  <c r="AC29" i="6"/>
  <c r="AC30" i="6" s="1"/>
  <c r="AB86" i="6"/>
  <c r="AC112" i="6"/>
  <c r="Z86" i="6"/>
  <c r="Z103" i="6"/>
  <c r="Z104" i="6" s="1"/>
  <c r="AB142" i="6"/>
  <c r="AC141" i="6"/>
  <c r="AC142" i="6" s="1"/>
  <c r="AC136" i="6"/>
  <c r="AC137" i="6" s="1"/>
  <c r="AA86" i="6"/>
  <c r="AA87" i="6" s="1"/>
  <c r="Z112" i="6"/>
  <c r="Z113" i="6" s="1"/>
  <c r="Z69" i="6"/>
  <c r="Z70" i="6" s="1"/>
  <c r="AB69" i="6"/>
  <c r="AB70" i="6" s="1"/>
  <c r="AC60" i="6"/>
  <c r="AC61" i="6" s="1"/>
  <c r="Z127" i="6"/>
  <c r="Z128" i="6" s="1"/>
  <c r="AA103" i="6"/>
  <c r="AA104" i="6" s="1"/>
  <c r="AB112" i="6"/>
  <c r="AB113" i="6" s="1"/>
  <c r="AB94" i="6"/>
  <c r="AB95" i="6" s="1"/>
  <c r="AA112" i="6"/>
  <c r="AA113" i="6" s="1"/>
  <c r="Z142" i="6"/>
  <c r="AA69" i="6"/>
  <c r="AC103" i="6"/>
  <c r="AC104" i="6" s="1"/>
  <c r="Z119" i="6"/>
  <c r="Z120" i="6" s="1"/>
  <c r="AA142" i="6"/>
  <c r="Z94" i="6"/>
  <c r="Z95" i="6" s="1"/>
  <c r="AA94" i="6"/>
  <c r="AA95" i="6" s="1"/>
  <c r="AA127" i="6"/>
  <c r="AA128" i="6" s="1"/>
  <c r="AB136" i="6"/>
  <c r="AB137" i="6" s="1"/>
  <c r="AC78" i="6"/>
  <c r="AC79" i="6" s="1"/>
  <c r="AA78" i="6"/>
  <c r="AA79" i="6" s="1"/>
  <c r="Z78" i="6"/>
  <c r="Z79" i="6" s="1"/>
  <c r="AA29" i="6"/>
  <c r="AA30" i="6" s="1"/>
  <c r="Z36" i="6"/>
  <c r="Z37" i="6" s="1"/>
  <c r="AA136" i="6"/>
  <c r="AA137" i="6" s="1"/>
  <c r="Z51" i="6"/>
  <c r="Z52" i="6" s="1"/>
  <c r="AB60" i="6"/>
  <c r="AB61" i="6" s="1"/>
  <c r="AC86" i="6"/>
  <c r="AC87" i="6" s="1"/>
  <c r="AA51" i="6"/>
  <c r="AA52" i="6" s="1"/>
  <c r="AA60" i="6"/>
  <c r="AA61" i="6" s="1"/>
  <c r="AB51" i="6"/>
  <c r="AB52" i="6" s="1"/>
  <c r="Z60" i="6"/>
  <c r="Z61" i="6" s="1"/>
  <c r="AC94" i="6"/>
  <c r="AC95" i="6" s="1"/>
  <c r="AC51" i="6"/>
  <c r="AC119" i="6"/>
  <c r="AC120" i="6" s="1"/>
  <c r="AB36" i="6"/>
  <c r="AB37" i="6" s="1"/>
  <c r="AB119" i="6"/>
  <c r="AB120" i="6" s="1"/>
  <c r="AA138" i="6"/>
  <c r="AA139" i="6" s="1"/>
  <c r="Z29" i="6"/>
  <c r="Z137" i="6"/>
  <c r="AA119" i="6"/>
  <c r="AA120" i="6" s="1"/>
  <c r="AC42" i="6"/>
  <c r="AC43" i="6" s="1"/>
  <c r="AB42" i="6"/>
  <c r="AB43" i="6" s="1"/>
  <c r="AA42" i="6"/>
  <c r="AA43" i="6" s="1"/>
  <c r="AA36" i="6"/>
  <c r="AA37" i="6" s="1"/>
  <c r="AC69" i="6"/>
  <c r="AC70" i="6" s="1"/>
  <c r="Z42" i="6"/>
  <c r="Z43" i="6" s="1"/>
  <c r="AC36" i="6"/>
  <c r="AC37" i="6" s="1"/>
  <c r="AB138" i="6"/>
  <c r="AB139" i="6" s="1"/>
  <c r="AC138" i="6"/>
  <c r="AC139" i="6" s="1"/>
  <c r="Z138" i="6"/>
  <c r="Z139" i="6" s="1"/>
  <c r="AC127" i="6"/>
  <c r="AB127" i="6"/>
  <c r="AB128" i="6" s="1"/>
  <c r="AC128" i="6"/>
  <c r="AC113" i="6"/>
  <c r="AB87" i="6"/>
  <c r="Z87" i="6"/>
  <c r="AB78" i="6"/>
  <c r="AB79" i="6" s="1"/>
  <c r="AB29" i="6"/>
  <c r="AB30" i="6" s="1"/>
  <c r="AA70" i="6"/>
  <c r="AC52" i="6"/>
  <c r="Z30" i="6"/>
  <c r="AB21" i="6"/>
  <c r="AB22" i="6" s="1"/>
  <c r="AA21" i="6"/>
  <c r="AA22" i="6" s="1"/>
  <c r="Z21" i="6"/>
  <c r="Z22" i="6" s="1"/>
  <c r="AC21" i="6"/>
  <c r="AC22" i="6" s="1"/>
  <c r="AA12" i="6"/>
  <c r="AA13" i="6" s="1"/>
  <c r="Z12" i="6"/>
  <c r="Z13" i="6" s="1"/>
  <c r="AB12" i="6"/>
  <c r="AB13" i="6" s="1"/>
  <c r="AC12" i="6"/>
  <c r="AC13" i="6" s="1"/>
  <c r="T15" i="1"/>
  <c r="H6" i="1"/>
  <c r="P4" i="6"/>
  <c r="V4" i="6" s="1"/>
  <c r="O4" i="6"/>
  <c r="U4" i="6" s="1"/>
  <c r="N4" i="6"/>
  <c r="T4" i="6" s="1"/>
  <c r="M4" i="6"/>
  <c r="S4" i="6" s="1"/>
  <c r="P3" i="6"/>
  <c r="V3" i="6" s="1"/>
  <c r="AC3" i="6" s="1"/>
  <c r="O3" i="6"/>
  <c r="U3" i="6" s="1"/>
  <c r="N3" i="6"/>
  <c r="T3" i="6" s="1"/>
  <c r="M3" i="6"/>
  <c r="S3" i="6" s="1"/>
  <c r="AA3" i="6" l="1"/>
  <c r="AA4" i="6" s="1"/>
  <c r="Z3" i="6"/>
  <c r="Z4" i="6" s="1"/>
  <c r="AB3" i="6"/>
  <c r="AB4" i="6" s="1"/>
  <c r="AC4" i="6"/>
  <c r="Y9" i="4" l="1"/>
  <c r="V9" i="4"/>
  <c r="U9" i="4"/>
  <c r="T9" i="4"/>
  <c r="C4" i="1"/>
  <c r="D4" i="1" s="1"/>
  <c r="T4" i="1" s="1"/>
  <c r="C5" i="1"/>
  <c r="D5" i="1" s="1"/>
  <c r="T5" i="1" s="1"/>
  <c r="C6" i="1"/>
  <c r="D6" i="1" s="1"/>
  <c r="T6" i="1" s="1"/>
  <c r="C7" i="1"/>
  <c r="D7" i="1" s="1"/>
  <c r="T7" i="1" s="1"/>
  <c r="C8" i="1"/>
  <c r="D8" i="1" s="1"/>
  <c r="T8" i="1" s="1"/>
  <c r="C9" i="1"/>
  <c r="D9" i="1" s="1"/>
  <c r="T9" i="1" s="1"/>
  <c r="C10" i="1"/>
  <c r="D10" i="1" s="1"/>
  <c r="T10" i="1" s="1"/>
  <c r="C11" i="1"/>
  <c r="D11" i="1" s="1"/>
  <c r="T11" i="1" s="1"/>
  <c r="C12" i="1"/>
  <c r="D12" i="1" s="1"/>
  <c r="T12" i="1" s="1"/>
  <c r="C13" i="1"/>
  <c r="D13" i="1" s="1"/>
  <c r="T13" i="1" s="1"/>
  <c r="C14" i="1"/>
  <c r="D14" i="1" s="1"/>
  <c r="T14" i="1" s="1"/>
  <c r="C16" i="1"/>
  <c r="C17" i="1"/>
  <c r="C18" i="1"/>
  <c r="D18" i="1" s="1"/>
  <c r="T18" i="1" s="1"/>
  <c r="C19" i="1"/>
  <c r="D19" i="1" s="1"/>
  <c r="T19" i="1" s="1"/>
  <c r="C20" i="1"/>
  <c r="D20" i="1" s="1"/>
  <c r="T20" i="1" s="1"/>
  <c r="C21" i="1"/>
  <c r="D21" i="1" s="1"/>
  <c r="T21" i="1" s="1"/>
  <c r="C22" i="1"/>
  <c r="D22" i="1" s="1"/>
  <c r="T22" i="1" s="1"/>
  <c r="C23" i="1"/>
  <c r="D23" i="1" s="1"/>
  <c r="T23" i="1" s="1"/>
  <c r="C24" i="1"/>
  <c r="D24" i="1" s="1"/>
  <c r="T24" i="1" s="1"/>
  <c r="C25" i="1"/>
  <c r="D25" i="1" s="1"/>
  <c r="T25" i="1" s="1"/>
  <c r="C26" i="1"/>
  <c r="D26" i="1" s="1"/>
  <c r="T26" i="1" s="1"/>
  <c r="C27" i="1"/>
  <c r="D27" i="1" s="1"/>
  <c r="T27" i="1" s="1"/>
  <c r="C28" i="1"/>
  <c r="D28" i="1" s="1"/>
  <c r="T28" i="1" s="1"/>
  <c r="C29" i="1"/>
  <c r="D29" i="1" s="1"/>
  <c r="T29" i="1" s="1"/>
  <c r="C30" i="1"/>
  <c r="D30" i="1" s="1"/>
  <c r="T30" i="1" s="1"/>
  <c r="C31" i="1"/>
  <c r="D31" i="1" s="1"/>
  <c r="T31" i="1" s="1"/>
  <c r="C32" i="1"/>
  <c r="D32" i="1" s="1"/>
  <c r="T32" i="1" s="1"/>
  <c r="C33" i="1"/>
  <c r="D33" i="1" s="1"/>
  <c r="T33" i="1" s="1"/>
  <c r="C34" i="1"/>
  <c r="D34" i="1" s="1"/>
  <c r="T34" i="1" s="1"/>
  <c r="C35" i="1"/>
  <c r="D35" i="1" s="1"/>
  <c r="T35" i="1" s="1"/>
  <c r="C36" i="1"/>
  <c r="D36" i="1" s="1"/>
  <c r="T36" i="1" s="1"/>
  <c r="C37" i="1"/>
  <c r="D37" i="1" s="1"/>
  <c r="T37" i="1" s="1"/>
  <c r="C38" i="1"/>
  <c r="D38" i="1" s="1"/>
  <c r="T38" i="1" s="1"/>
  <c r="C39" i="1"/>
  <c r="D39" i="1" s="1"/>
  <c r="T39" i="1" s="1"/>
  <c r="C3" i="1"/>
  <c r="D3" i="1" s="1"/>
  <c r="T3" i="1" s="1"/>
  <c r="S9" i="4"/>
  <c r="R9" i="4"/>
  <c r="Q9" i="4"/>
  <c r="P9" i="4"/>
  <c r="O9" i="4"/>
  <c r="N9" i="4"/>
  <c r="M9" i="4"/>
  <c r="K9" i="4"/>
  <c r="J9" i="4"/>
  <c r="I9" i="4"/>
  <c r="H9" i="4"/>
  <c r="G9" i="4"/>
  <c r="F9" i="4"/>
  <c r="E9" i="4"/>
  <c r="D9" i="4"/>
  <c r="D16" i="1" l="1"/>
  <c r="T16" i="1" s="1"/>
  <c r="D17" i="1"/>
  <c r="T17" i="1" s="1"/>
  <c r="W9" i="4"/>
  <c r="X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</author>
  </authors>
  <commentList>
    <comment ref="I9" authorId="0" shapeId="0" xr:uid="{52572885-E8AB-460E-B067-629790471649}">
      <text>
        <r>
          <rPr>
            <b/>
            <sz val="9"/>
            <color indexed="81"/>
            <rFont val="Tahoma"/>
            <family val="2"/>
          </rPr>
          <t>Low EP Tape Supplies from Chem Team due to Machine Maintenance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" authorId="0" shapeId="0" xr:uid="{828D949A-D58D-462D-83F7-6FC6FEBDC400}">
      <text>
        <r>
          <rPr>
            <b/>
            <sz val="9"/>
            <color indexed="81"/>
            <rFont val="Tahoma"/>
            <family val="2"/>
          </rPr>
          <t>Golden Week, no input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" authorId="0" shapeId="0" xr:uid="{C7A462FC-D9A8-436C-AF75-E7901FA7EE34}">
      <text>
        <r>
          <rPr>
            <b/>
            <sz val="9"/>
            <color indexed="81"/>
            <rFont val="Tahoma"/>
            <family val="2"/>
          </rPr>
          <t>Golden Week, Low input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" authorId="0" shapeId="0" xr:uid="{69491388-864A-4155-ADAF-34A61D683689}">
      <text>
        <r>
          <rPr>
            <b/>
            <sz val="9"/>
            <color indexed="81"/>
            <rFont val="Tahoma"/>
            <family val="2"/>
          </rPr>
          <t xml:space="preserve">Low ouput due to mulitiple ion source turned off; performed major maintenance
</t>
        </r>
      </text>
    </comment>
  </commentList>
</comments>
</file>

<file path=xl/sharedStrings.xml><?xml version="1.0" encoding="utf-8"?>
<sst xmlns="http://schemas.openxmlformats.org/spreadsheetml/2006/main" count="3000" uniqueCount="818">
  <si>
    <t>Workweek</t>
    <phoneticPr fontId="1"/>
  </si>
  <si>
    <t>Tape Number</t>
    <phoneticPr fontId="1"/>
  </si>
  <si>
    <t xml:space="preserve"> Vacuum Start Time</t>
    <phoneticPr fontId="1"/>
  </si>
  <si>
    <t>Tape Movement Start Time</t>
    <phoneticPr fontId="1"/>
  </si>
  <si>
    <t>Tape Movement Stop Time</t>
    <phoneticPr fontId="1"/>
  </si>
  <si>
    <t>Open Chamber (Time)</t>
    <phoneticPr fontId="1"/>
  </si>
  <si>
    <t xml:space="preserve">Date </t>
    <phoneticPr fontId="1"/>
  </si>
  <si>
    <t>Time</t>
    <phoneticPr fontId="1"/>
  </si>
  <si>
    <t>Comments</t>
    <phoneticPr fontId="1"/>
  </si>
  <si>
    <t>Tape Prepared by:</t>
    <phoneticPr fontId="1"/>
  </si>
  <si>
    <t>Length</t>
    <phoneticPr fontId="1"/>
  </si>
  <si>
    <t>Event</t>
    <phoneticPr fontId="1"/>
  </si>
  <si>
    <t>ATTACH/PASTE GREENSCAN HERE</t>
    <phoneticPr fontId="1"/>
  </si>
  <si>
    <t>PM1</t>
    <phoneticPr fontId="1"/>
  </si>
  <si>
    <t>PM2</t>
  </si>
  <si>
    <t>PM3</t>
  </si>
  <si>
    <t>Rate in IBAD</t>
    <phoneticPr fontId="1"/>
  </si>
  <si>
    <t>Rate in EPI</t>
    <phoneticPr fontId="1"/>
  </si>
  <si>
    <t>Process Parameter Conditions</t>
    <phoneticPr fontId="1"/>
  </si>
  <si>
    <t>Speed (m/min)</t>
    <phoneticPr fontId="1"/>
  </si>
  <si>
    <t>Grids</t>
  </si>
  <si>
    <t>Ulbrich 42</t>
  </si>
  <si>
    <t>Hastelloy Thickness (um)</t>
  </si>
  <si>
    <t>WW10</t>
  </si>
  <si>
    <t>WW11</t>
  </si>
  <si>
    <t>WW12</t>
  </si>
  <si>
    <t>WW13</t>
  </si>
  <si>
    <t>WW14</t>
  </si>
  <si>
    <t>WW15</t>
  </si>
  <si>
    <t>WW16</t>
  </si>
  <si>
    <t>Total Length (m)</t>
  </si>
  <si>
    <t>WW17</t>
  </si>
  <si>
    <t>WW18</t>
  </si>
  <si>
    <t>WW19</t>
  </si>
  <si>
    <t>WW20</t>
  </si>
  <si>
    <t>WW21</t>
  </si>
  <si>
    <t>WW22</t>
  </si>
  <si>
    <t>WW23</t>
  </si>
  <si>
    <t>WW24</t>
  </si>
  <si>
    <t>WW25</t>
  </si>
  <si>
    <t>WW26</t>
  </si>
  <si>
    <t>WW27</t>
  </si>
  <si>
    <t>WW28</t>
  </si>
  <si>
    <t>WW29</t>
  </si>
  <si>
    <t>WW30</t>
  </si>
  <si>
    <t>ION Source  OFF</t>
  </si>
  <si>
    <t>E-Gun 1 OFF Occurrence</t>
  </si>
  <si>
    <t>E-Gun 2  OFF Occurrence</t>
  </si>
  <si>
    <t>Julie</t>
  </si>
  <si>
    <t>Metrics</t>
  </si>
  <si>
    <t>UOM</t>
  </si>
  <si>
    <t>Target</t>
  </si>
  <si>
    <t>Actual</t>
  </si>
  <si>
    <t>Delta</t>
  </si>
  <si>
    <t>Results</t>
  </si>
  <si>
    <t>Production Output </t>
  </si>
  <si>
    <t>Km/week</t>
  </si>
  <si>
    <t>15 km/week</t>
  </si>
  <si>
    <t>16k</t>
  </si>
  <si>
    <t>Production Yield</t>
  </si>
  <si>
    <t>%</t>
  </si>
  <si>
    <t>In-Process Defects</t>
  </si>
  <si>
    <t>&gt;2%</t>
  </si>
  <si>
    <t>1.50%</t>
  </si>
  <si>
    <t>Average Ic </t>
  </si>
  <si>
    <t>XRD</t>
  </si>
  <si>
    <t>Angle Degrees</t>
  </si>
  <si>
    <t>Hastelloy Manufacturer</t>
  </si>
  <si>
    <t>Actual Deposited Tape</t>
  </si>
  <si>
    <t>&lt;7Deg</t>
  </si>
  <si>
    <t>Get the average weekly XRD</t>
  </si>
  <si>
    <t>Get the average weekly Ic</t>
  </si>
  <si>
    <t>Data will be gathered thru database (Egun1OFF, cut from eval samples)</t>
  </si>
  <si>
    <t>Set up time</t>
  </si>
  <si>
    <t>Average Minutes</t>
  </si>
  <si>
    <t>&gt;220</t>
  </si>
  <si>
    <t>Amperes/Km</t>
  </si>
  <si>
    <t>Work Week</t>
  </si>
  <si>
    <t>Work Week Date</t>
  </si>
  <si>
    <t>Deposition Time</t>
  </si>
  <si>
    <t>Tape Movement Stop 
to Open Chamber</t>
  </si>
  <si>
    <t>Vacuum to Tape 
Movement Start</t>
  </si>
  <si>
    <t xml:space="preserve">Vacuum, aditional work </t>
  </si>
  <si>
    <t xml:space="preserve">Deposition time </t>
  </si>
  <si>
    <t>Time to stop, aditional work</t>
  </si>
  <si>
    <t>Cleaning, Maintenance</t>
  </si>
  <si>
    <t>Total,min</t>
  </si>
  <si>
    <t>WW31</t>
  </si>
  <si>
    <t>Software Length</t>
  </si>
  <si>
    <t>STD Time</t>
  </si>
  <si>
    <t>Speed (m/min)</t>
  </si>
  <si>
    <t>Deposition Time duration</t>
  </si>
  <si>
    <t>Calculated Tape Stop</t>
  </si>
  <si>
    <t>R009</t>
  </si>
  <si>
    <t>WW32</t>
  </si>
  <si>
    <t>Chambers Clean, 
Setup, and Maintenance</t>
  </si>
  <si>
    <t>WW33</t>
  </si>
  <si>
    <t>WW34</t>
  </si>
  <si>
    <t>WW35</t>
  </si>
  <si>
    <t>Total time
(min)</t>
  </si>
  <si>
    <t xml:space="preserve">Vacuum, aditional work
(%) </t>
  </si>
  <si>
    <t>Deposition time 
(%)</t>
  </si>
  <si>
    <t>Time to stop, aditional work 
(%)</t>
  </si>
  <si>
    <t>Cleaning, Maintenance
(%)</t>
  </si>
  <si>
    <t>KTM023</t>
  </si>
  <si>
    <t>Column Labels</t>
  </si>
  <si>
    <t>Grand Total</t>
  </si>
  <si>
    <t>Sum of ION Source  OFF</t>
  </si>
  <si>
    <t>R117</t>
  </si>
  <si>
    <t>Sum of E-Gun 1 OFF Occurrence</t>
  </si>
  <si>
    <t>Sum of E-Gun 2  OFF Occurrence</t>
  </si>
  <si>
    <t>WW44</t>
  </si>
  <si>
    <t>#2730(1000-0)</t>
  </si>
  <si>
    <t>#2732(1656-1276)</t>
  </si>
  <si>
    <t>#2732(1276-0)</t>
  </si>
  <si>
    <t>#2730(1653-1400)</t>
  </si>
  <si>
    <t>#2730(1400-1200)</t>
  </si>
  <si>
    <t>#2726(1617-0)</t>
  </si>
  <si>
    <t>#2738(1613-0)</t>
  </si>
  <si>
    <t>#2736(1655-1255)</t>
  </si>
  <si>
    <t>#2728(1450-0)</t>
  </si>
  <si>
    <t>#2750(1317-0) #2736(1255-0)</t>
  </si>
  <si>
    <t>#2750(1197-0)#2740(1616-966)</t>
  </si>
  <si>
    <t>Workweek</t>
  </si>
  <si>
    <t>Tape Number</t>
  </si>
  <si>
    <t>Details for Sum of E-Gun 1 OFF Occurrence - Workweek: WW44, E-Gun 1 OFF Occurrence: 0 (+)</t>
  </si>
  <si>
    <t>WW02</t>
  </si>
  <si>
    <t>01.05-01.11</t>
  </si>
  <si>
    <t>#2900(1662-0)</t>
  </si>
  <si>
    <t>KTM027</t>
  </si>
  <si>
    <t>Changed cooling plate in PM2</t>
  </si>
  <si>
    <t>#2902(1665-0)</t>
  </si>
  <si>
    <t>Romell</t>
  </si>
  <si>
    <t>Changed grids: KTM023 to KTM027</t>
  </si>
  <si>
    <t>#2904(1662-0)</t>
  </si>
  <si>
    <t>PM5 Bearing BL,TL and O-Spring changed; PM4 IS adjusted; PM4 emitter changed due o broken insulator</t>
  </si>
  <si>
    <t>Pao/Chard</t>
  </si>
  <si>
    <t>#2906(1536-0) #2880(1691-1534)</t>
  </si>
  <si>
    <t>PLD Boys</t>
  </si>
  <si>
    <t>Jobel</t>
  </si>
  <si>
    <t>Ulbrich 42/40</t>
  </si>
  <si>
    <t>37/33</t>
  </si>
  <si>
    <r>
      <t xml:space="preserve">PM4 Emitterinsulator was cracked; PM5 Zone 4 Thermocouples was replaced; </t>
    </r>
    <r>
      <rPr>
        <b/>
        <sz val="11"/>
        <color rgb="FFFF0000"/>
        <rFont val="Arial"/>
        <family val="2"/>
      </rPr>
      <t xml:space="preserve">Use of MgO Pellets (4-6mm) </t>
    </r>
  </si>
  <si>
    <r>
      <t xml:space="preserve">PM4 &amp; PM5 Emmitter was replaced; PM6 Chamber base cleaned; </t>
    </r>
    <r>
      <rPr>
        <b/>
        <sz val="11"/>
        <color rgb="FFFF0000"/>
        <rFont val="Arial"/>
        <family val="2"/>
      </rPr>
      <t>RnD PM2 OFF</t>
    </r>
  </si>
  <si>
    <t>#2898(339-985) #2892(1385-0)</t>
  </si>
  <si>
    <t xml:space="preserve">#2898(985-1427) </t>
  </si>
  <si>
    <t>NG</t>
  </si>
  <si>
    <t>Tape stop due to tape is hitting the wall of the roller, because the tape was rewinded too far to the edge of the reel)</t>
  </si>
  <si>
    <t>#2912(1620-0)</t>
  </si>
  <si>
    <t>PM4 Cooling plate and depo shields was replaced; RM1 Encoder guide roller adjust3mm to door side</t>
  </si>
  <si>
    <t>#2914(1656-0)</t>
  </si>
  <si>
    <t>Pao</t>
  </si>
  <si>
    <t>PM6 Top left 2pcs of bad Bearings changed; PM5 4 roll base plate alignment was adjusted by loosening bolt at wall side top left</t>
  </si>
  <si>
    <t>#2910(570-0) #2910(1076-570) #2908(825-0)</t>
  </si>
  <si>
    <t>PM2 Chamber Base cooling line cleaned</t>
  </si>
  <si>
    <t>WW03</t>
  </si>
  <si>
    <t>01.12-01.18</t>
  </si>
  <si>
    <t>#2918(1389-0)#2920(1356-0)</t>
  </si>
  <si>
    <t>Kyle</t>
  </si>
  <si>
    <t>IBAD emitter insulator was changed to new one (re-opened chamber)</t>
  </si>
  <si>
    <t>#2922(1403-0) #2916(1397-700)</t>
  </si>
  <si>
    <t>#2930(1500-0)</t>
  </si>
  <si>
    <t>ES</t>
  </si>
  <si>
    <t>#2898(339-0)#2926(1661-926)#2926(705-0)</t>
  </si>
  <si>
    <t>PM2 Ch-Base cooling line cleaned</t>
  </si>
  <si>
    <t>#EXP1-20</t>
  </si>
  <si>
    <t>IS/NG</t>
  </si>
  <si>
    <t xml:space="preserve">Adjust 1mm to the left, 2mm to Ion source side </t>
  </si>
  <si>
    <t>#2940(1453-0)</t>
  </si>
  <si>
    <t>Chard</t>
  </si>
  <si>
    <r>
      <rPr>
        <b/>
        <sz val="11"/>
        <color rgb="FFFF0000"/>
        <rFont val="Arial"/>
        <family val="2"/>
      </rPr>
      <t>Changed grids: KTM027 to KTM023;</t>
    </r>
    <r>
      <rPr>
        <sz val="11"/>
        <color theme="1"/>
        <rFont val="Arial"/>
        <family val="2"/>
      </rPr>
      <t xml:space="preserve"> Adjust 5mm to the right, 2mm to Ion source side </t>
    </r>
  </si>
  <si>
    <t>Adj. 5mm to the right; 2mm to IS</t>
  </si>
  <si>
    <t>#2932(1500-0)</t>
  </si>
  <si>
    <t>Julie/Chard</t>
  </si>
  <si>
    <t>Idle Power at 200W</t>
  </si>
  <si>
    <t>WW04</t>
  </si>
  <si>
    <t>01.19-01.25</t>
  </si>
  <si>
    <t>#2954(1398-0)</t>
  </si>
  <si>
    <t>#2952(1394-0)#2916(690-0)</t>
  </si>
  <si>
    <t>Ulbrich 40</t>
  </si>
  <si>
    <t xml:space="preserve">Cryopump Auto regeneration </t>
  </si>
  <si>
    <t>#2898(1662-1427) #2910(1364-1101)</t>
  </si>
  <si>
    <t>#2950(1684-898) #2950(896-0)</t>
  </si>
  <si>
    <t>#2942(1633-1427) #29542(1427-16)</t>
  </si>
  <si>
    <t>PM4Emitter Assy. Change; PM2 Ch-base cleaned; EPI Crystal #2,4&amp;6 Inficon Gold; Process Gain 50%--&gt; 20% at 221m</t>
  </si>
  <si>
    <t>Novruz</t>
  </si>
  <si>
    <t>RnD Ion Source Scan w/ PM3 Scan</t>
  </si>
  <si>
    <t>#2946(339-0)#2944(1328-4)+50mDMY</t>
  </si>
  <si>
    <t>Changed V-spring PM5; Changed depo shields &amp; copper cooling plate in PM4</t>
  </si>
  <si>
    <t>PM5 Changed O-spring and  V-spring; PM5 BL #1-5</t>
  </si>
  <si>
    <t>#2948(1656-906)#2956(1398-0)</t>
  </si>
  <si>
    <t>Ranne</t>
  </si>
  <si>
    <t>PM5 -T.L. Added 0.95mm spacer at the back side. #0 bearing changed, All 6910CE bearings were changed to new.  PM6-T.L. All 6910CE bearings were changed to new.B.L. #1,2,3,4,5 bearings changed to new.</t>
  </si>
  <si>
    <r>
      <t>#2868 (000-195)#2944 (1659-1328)</t>
    </r>
    <r>
      <rPr>
        <b/>
        <sz val="11"/>
        <color rgb="FFFF0000"/>
        <rFont val="Arial"/>
        <family val="2"/>
      </rPr>
      <t>#2946 (339-1665) RnD</t>
    </r>
  </si>
  <si>
    <t>Pao/Jowi/Jobel</t>
  </si>
  <si>
    <t>#2928(1666-844) #2960(1395-0)</t>
  </si>
  <si>
    <t>John</t>
  </si>
  <si>
    <t xml:space="preserve">PM1 TL #2,3 ; BL #2,3,4,5 </t>
  </si>
  <si>
    <t>WW05</t>
  </si>
  <si>
    <t>01.26-02.01</t>
  </si>
  <si>
    <t>#2958(1531-355) #2958(350-000)</t>
  </si>
  <si>
    <t>Deniz</t>
  </si>
  <si>
    <t>#2970(962-697)#2964(1397-0)</t>
  </si>
  <si>
    <t>#2970(680-0)#2968(848-0)</t>
  </si>
  <si>
    <t>#2920(1556-1656)#2978(1100-1224)</t>
  </si>
  <si>
    <t>Melo</t>
  </si>
  <si>
    <t>YELLOW BUFFER DEPOSITION</t>
  </si>
  <si>
    <t>#2978(500-0)#2986(1396-0)</t>
  </si>
  <si>
    <t>#2986(1396-0) #2978(500-0)</t>
  </si>
  <si>
    <r>
      <t xml:space="preserve">DEPO CANCELLED!! Grids change KTM023 --&gt; R009; </t>
    </r>
    <r>
      <rPr>
        <sz val="11"/>
        <rFont val="Arial"/>
        <family val="2"/>
      </rPr>
      <t>Re-installed old target due to arcing (2x); Changed top shield &amp; target shield, 
HV connection polished, Tape cut @PM5 and PM6 during SP KM DMY ramp up</t>
    </r>
  </si>
  <si>
    <t>#2976(896-0) #2966(1394-0)</t>
  </si>
  <si>
    <t>#2978(500-1100)#2988(1396-0)</t>
  </si>
  <si>
    <r>
      <rPr>
        <b/>
        <sz val="11"/>
        <color rgb="FFFF0000"/>
        <rFont val="Arial"/>
        <family val="2"/>
      </rPr>
      <t>New MgO Pellets(4-6mm); New PM6 Target;</t>
    </r>
    <r>
      <rPr>
        <sz val="11"/>
        <color theme="1"/>
        <rFont val="Arial"/>
        <family val="2"/>
      </rPr>
      <t xml:space="preserve"> Change Top Shield and target shield,HV connection polish</t>
    </r>
  </si>
  <si>
    <r>
      <t xml:space="preserve">DEPO CANCELLED!! Grids change R009 --&gt; KTM027; </t>
    </r>
    <r>
      <rPr>
        <b/>
        <sz val="11"/>
        <rFont val="Arial"/>
        <family val="2"/>
      </rPr>
      <t>Bolted Target Base PM6; PM6 Target changed; PM1 Target changed</t>
    </r>
    <r>
      <rPr>
        <b/>
        <sz val="11"/>
        <color rgb="FFFF0000"/>
        <rFont val="Arial"/>
        <family val="2"/>
      </rPr>
      <t>; Tape Cut @ 2471 No end etching profile</t>
    </r>
  </si>
  <si>
    <t>RnD</t>
  </si>
  <si>
    <t>Evgenii</t>
  </si>
  <si>
    <t>#3004(1361-000) #2962(670-000)</t>
  </si>
  <si>
    <t>35/37</t>
  </si>
  <si>
    <t>PM1 Target changed to Toshima</t>
  </si>
  <si>
    <t>WW06</t>
  </si>
  <si>
    <t>02.02-02.08</t>
  </si>
  <si>
    <t>#3000(19-359) #3000(483-1058) #2982(1365-0)</t>
  </si>
  <si>
    <t>Jowi/Melo</t>
  </si>
  <si>
    <t>#3010(1-336)#3010(336-631)</t>
  </si>
  <si>
    <t>Ulbrich/Subra B/BCA</t>
  </si>
  <si>
    <t>#3012(1098-0)#3014(1380-0)</t>
  </si>
  <si>
    <t>PM4: Depo Shields,Cooling Plate and Emitter Assy changed; PM2 Cooling plate changed, Ch-base cleaned</t>
  </si>
  <si>
    <t>PM6 Allignment, cleaned o-ring</t>
  </si>
  <si>
    <t>#3020(1373-0)#3018(766-131)</t>
  </si>
  <si>
    <t>#3020(1373-0)#3018(1349-766)</t>
  </si>
  <si>
    <t>WW07</t>
  </si>
  <si>
    <t>02.09-02.15</t>
  </si>
  <si>
    <t>#2994(1274-96)#3016(1000-0)</t>
  </si>
  <si>
    <r>
      <t>Ion source was moved 12 mm to the right.; IBAD O-spring changed;</t>
    </r>
    <r>
      <rPr>
        <b/>
        <sz val="11"/>
        <color rgb="FFFF0000"/>
        <rFont val="Arial"/>
        <family val="2"/>
      </rPr>
      <t xml:space="preserve"> Tape was stopped due to tape damage at RM1</t>
    </r>
  </si>
  <si>
    <r>
      <t xml:space="preserve">PM2 Ch-Base cooling line cleaned; PM5 BL#1,2,3,5,6,7 bearings changed; </t>
    </r>
    <r>
      <rPr>
        <b/>
        <sz val="11"/>
        <color rgb="FFFF0000"/>
        <rFont val="Arial"/>
        <family val="2"/>
      </rPr>
      <t>New Cygnus</t>
    </r>
  </si>
  <si>
    <t>#2984(291-1116)#3022(52-1380)</t>
  </si>
  <si>
    <t>Ulbrich 40/Moscow</t>
  </si>
  <si>
    <t>35/39</t>
  </si>
  <si>
    <t>PM3 Cooling Plate changed</t>
  </si>
  <si>
    <t>#2980(0-1366) #3002(875-0)</t>
  </si>
  <si>
    <t>#3008(1395-95) #3006(922-22)</t>
  </si>
  <si>
    <t xml:space="preserve">Moscow Tape </t>
  </si>
  <si>
    <t>New depo shields set IBAD; PM5 bearings changed; PM2 Ch-base cleaned</t>
  </si>
  <si>
    <t>#2992(900-0) #2990(1350-250)</t>
  </si>
  <si>
    <r>
      <t xml:space="preserve">#2920(1556-1656)#2978(1100-1224) </t>
    </r>
    <r>
      <rPr>
        <b/>
        <sz val="11"/>
        <color theme="1"/>
        <rFont val="Arial"/>
        <family val="2"/>
      </rPr>
      <t>YB production</t>
    </r>
  </si>
  <si>
    <t>MgO Pellets 4-6mm; PID RnD</t>
  </si>
  <si>
    <t>#2996(1100-0) #2924(300-0) #2924(600-300)</t>
  </si>
  <si>
    <t>37/39</t>
  </si>
  <si>
    <t>#3024(1381-57)</t>
  </si>
  <si>
    <t>RB115/US100</t>
  </si>
  <si>
    <t>PM1 Changed Cooling Plate; PM2 CleanedCh-Base; PM4 Adj. 3mm to Ion Source; PM6 BL #1&amp;2</t>
  </si>
  <si>
    <t>#3032(1200-0) #2998(624-280)</t>
  </si>
  <si>
    <t>#3036(1200-0)#3024(486-57)</t>
  </si>
  <si>
    <t>Paolo</t>
  </si>
  <si>
    <t>WW08</t>
  </si>
  <si>
    <t>02.16-02.22</t>
  </si>
  <si>
    <t>#3040(1199-0)+YB#2998(250-0)</t>
  </si>
  <si>
    <t>PM1: BL#4;BR#1-8; PM5:BL#4</t>
  </si>
  <si>
    <r>
      <rPr>
        <b/>
        <sz val="11"/>
        <color theme="7"/>
        <rFont val="Arial"/>
        <family val="2"/>
      </rPr>
      <t>YB Deposition</t>
    </r>
    <r>
      <rPr>
        <sz val="11"/>
        <color theme="7"/>
        <rFont val="Arial"/>
        <family val="2"/>
      </rPr>
      <t xml:space="preserve"> </t>
    </r>
    <r>
      <rPr>
        <sz val="11"/>
        <color theme="1"/>
        <rFont val="Arial"/>
        <family val="2"/>
      </rPr>
      <t>+ Normal Prod</t>
    </r>
  </si>
  <si>
    <t>#3034(1200-0) #3044(468-149) #3042(570-246)</t>
  </si>
  <si>
    <t>37/35</t>
  </si>
  <si>
    <t>PM4 E-gun changed to new one; Clean dirty keeper</t>
  </si>
  <si>
    <t>#3034(1200-0)#3042(570-288)</t>
  </si>
  <si>
    <r>
      <t xml:space="preserve">KTM027 --&gt; KTM023; </t>
    </r>
    <r>
      <rPr>
        <sz val="11"/>
        <rFont val="Arial"/>
        <family val="2"/>
      </rPr>
      <t>Changed depo shields &amp;cooling plate PM4; Ceramic plate changed; 
PM5 bearings changed BL: 2,3,4,7; BR: 1,2</t>
    </r>
    <r>
      <rPr>
        <b/>
        <sz val="11"/>
        <color rgb="FFFF0000"/>
        <rFont val="Arial"/>
        <family val="2"/>
      </rPr>
      <t>; TAPE STOPPED DUE TO TAPE DAMAGED at PM5</t>
    </r>
  </si>
  <si>
    <t xml:space="preserve">Added spacers in PM5 bearing TL &amp; BL </t>
  </si>
  <si>
    <t>#3030(1199-0)#3028(1198-0)</t>
  </si>
  <si>
    <t>PM5 V-spring changed</t>
  </si>
  <si>
    <t>#3026(1201-0) #KM3038(320-22) #3026(1201-0)</t>
  </si>
  <si>
    <t>Romell/Pao</t>
  </si>
  <si>
    <t>Ulbrich 40/Kanematsu</t>
  </si>
  <si>
    <t>WW09</t>
  </si>
  <si>
    <t>#3048(2010-0)</t>
  </si>
  <si>
    <t>PM4: Depo Shields,Cooling Plate and O-spring changed; Adj. 3mm to the left and 2mm to Door side</t>
  </si>
  <si>
    <t>#3050(2013-0)</t>
  </si>
  <si>
    <t>#3052(1894-0) #2990(250-0)</t>
  </si>
  <si>
    <t>PM2 cooling plate and target shield changed; Pm6 Door allignment(Hard to close)</t>
  </si>
  <si>
    <t xml:space="preserve">Unscheduled Grids change KTM023 --&gt; KTM027 </t>
  </si>
  <si>
    <t>#3054(1212-0)#3058(783-2)#3042(235-37)#3044(139-0)</t>
  </si>
  <si>
    <t>#3056(1904-0) #3030 (182-0)</t>
  </si>
  <si>
    <t>02.23-03.01</t>
  </si>
  <si>
    <t>#3054(1500-1212) #3066(1896-0)</t>
  </si>
  <si>
    <t>Cryopump regen; PM3 &amp; PM6 cooling plate and target shields changed</t>
  </si>
  <si>
    <t>#3060(1912-0)</t>
  </si>
  <si>
    <t>JM113</t>
  </si>
  <si>
    <t>#3064(1912-620) RnD#3064(620-0)</t>
  </si>
  <si>
    <t>MV125</t>
  </si>
  <si>
    <t>#3062(1898-2)#3058(1893-1667)</t>
  </si>
  <si>
    <t>RR124</t>
  </si>
  <si>
    <t>PM2 Ch-base cleaned; RM1 Tape cut fixed; PM4 changed O-spring,Emitter Assy. Glass window,Keeper Cleaned, 
Skillet bottom coupling tightened</t>
  </si>
  <si>
    <t>#3068 (1000-1892) #3070 (776-1891) #3070 (271-776)</t>
  </si>
  <si>
    <t>KK111</t>
  </si>
  <si>
    <t>#3072(1896-775) #3072(774-0) #3068(1000-500)</t>
  </si>
  <si>
    <t>NG70</t>
  </si>
  <si>
    <t xml:space="preserve"> PM2 Ch-base cleaned; </t>
  </si>
  <si>
    <t>PM4 Cooling plate and Depo shield change;</t>
  </si>
  <si>
    <t>PM1 Cooling plate and target shield changed; Checked PM2 Target condition due to RF Power warning error</t>
  </si>
  <si>
    <t>#3076(1896-0)#3068(500-0)</t>
  </si>
  <si>
    <t>JM126</t>
  </si>
  <si>
    <t>PM2 Target shield changed, Polished Target dirty sides with grinder</t>
  </si>
  <si>
    <t>03.02-03.08</t>
  </si>
  <si>
    <t xml:space="preserve">PM5 V-spring changed </t>
  </si>
  <si>
    <t>#3074(1892-0) #3078(1893-1293)</t>
  </si>
  <si>
    <t>#1266(637-0)#3080(1895-995)
 + SUBRA tapes (90m)</t>
  </si>
  <si>
    <t>Ulbrich 42/105</t>
  </si>
  <si>
    <t>37/100</t>
  </si>
  <si>
    <t>PM5 BL:3,4 was changed ; PM4 deposhields and colling plate was changed</t>
  </si>
  <si>
    <t xml:space="preserve">#3078(1293-0) </t>
  </si>
  <si>
    <t>PM4 emitter changed</t>
  </si>
  <si>
    <t>RB115</t>
  </si>
  <si>
    <t>#3092(1910-1300)#3086(1890-0)</t>
  </si>
  <si>
    <t>#3084(1798-0) #3080(595-100)</t>
  </si>
  <si>
    <t>#3082(1894-000)</t>
  </si>
  <si>
    <t>PM4 Depo Shields changed</t>
  </si>
  <si>
    <t>PM1 BL Bearing #4 changed; PM2 BL Bearing #4&amp;9 changed</t>
  </si>
  <si>
    <t>#3064(620-0)#3092(1300-0)</t>
  </si>
  <si>
    <t>ES46</t>
  </si>
  <si>
    <t>Tape Stopped. Tape was derailed at PM2, Rnd was cancelled.</t>
  </si>
  <si>
    <t>#3094(1893-0)</t>
  </si>
  <si>
    <t>RG102</t>
  </si>
  <si>
    <t>RUN ID</t>
  </si>
  <si>
    <t xml:space="preserve">#3098(1911-0) #KM3038(793-340) </t>
  </si>
  <si>
    <t>#3104(1910-0) #3080(995-595)</t>
  </si>
  <si>
    <t>#3100(1911-0) #3092(1300-850)</t>
  </si>
  <si>
    <t>Error -80-  Encountered</t>
  </si>
  <si>
    <t>03.09-03.15</t>
  </si>
  <si>
    <t>PM4 Depo shields &amp; Cooling Plate; Adj. 3mm to Ion Source side; PM5 BL #4&amp;7; Potentiometer adj.</t>
  </si>
  <si>
    <r>
      <t>#3092(500-0)</t>
    </r>
    <r>
      <rPr>
        <sz val="11"/>
        <color rgb="FFFF0000"/>
        <rFont val="Arial"/>
        <family val="2"/>
      </rPr>
      <t>#3064(597-0)RnD</t>
    </r>
  </si>
  <si>
    <t>RF Matchbox adjustment due to Error 80, Load set back to 0 position</t>
  </si>
  <si>
    <t>#2782(2000-1431)</t>
  </si>
  <si>
    <t>#3092(850-500)#3102(2013-0)</t>
  </si>
  <si>
    <t>R120</t>
  </si>
  <si>
    <t>JA121</t>
  </si>
  <si>
    <r>
      <t>KTM027 --&gt;R120; Flange; PM6 Top Depo plate and side shields changed; PM4 RF c</t>
    </r>
    <r>
      <rPr>
        <sz val="11"/>
        <color rgb="FFFF0000"/>
        <rFont val="Arial"/>
        <family val="2"/>
      </rPr>
      <t>able; RF matching box gears fixed</t>
    </r>
  </si>
  <si>
    <t>(Multiple Items)</t>
  </si>
  <si>
    <t>#3116(600-100)#3108(1898-0)</t>
  </si>
  <si>
    <t>#3116(1100-600)#3110(1868-0)</t>
  </si>
  <si>
    <t>#3116(1508-1118)#3120(1844-0)</t>
  </si>
  <si>
    <t>#3116(1898-1508)#3118(1897-0)</t>
  </si>
  <si>
    <t>#3114(1910-0)</t>
  </si>
  <si>
    <t>#3126 (1876-0) #3128(607-0)</t>
  </si>
  <si>
    <t>PM4 Cooling Plate</t>
  </si>
  <si>
    <t>R120--&gt;KTM027; PM4 emitter change</t>
  </si>
  <si>
    <t>PM1 Cooling plate &amp; target shields; PM4 Depo shield; adj. IS position</t>
  </si>
  <si>
    <t>PM6 Ch-base; PM5 O-spring</t>
  </si>
  <si>
    <t>RND #KM3106(745-415) #KM3106(415-85) ULBRICH 100um #1264(298-628)</t>
  </si>
  <si>
    <t>Kanematsu</t>
  </si>
  <si>
    <t>#3122(1000-0)#3122(1000-1516)#3130(2180-2330)</t>
  </si>
  <si>
    <t>37/42</t>
  </si>
  <si>
    <t>PM4 Depo shields;Auto Regen.; PM6 BL#2,3,4,5</t>
  </si>
  <si>
    <t>Changed Drypump #1 and Drypump #2 silencer</t>
  </si>
  <si>
    <r>
      <t xml:space="preserve">#2946(339-0) </t>
    </r>
    <r>
      <rPr>
        <b/>
        <sz val="11"/>
        <color rgb="FFFF0000"/>
        <rFont val="Arial"/>
        <family val="2"/>
      </rPr>
      <t>#2944(1328-4) RnD</t>
    </r>
    <r>
      <rPr>
        <sz val="11"/>
        <color theme="1"/>
        <rFont val="Arial"/>
        <family val="2"/>
      </rPr>
      <t>+50mDMY</t>
    </r>
  </si>
  <si>
    <t>#3130(2330-2180)#3122(1000-0)#3138(200-5)#3132(785-585)#3122(1516-1000) RnD</t>
  </si>
  <si>
    <t>#3128 (607-1215)#3112 (1115-1569)#3112 (2-1108)</t>
  </si>
  <si>
    <t>RG102/JM113</t>
  </si>
  <si>
    <t>37/32</t>
  </si>
  <si>
    <t>PM2 cooling plate and target shield changed;</t>
  </si>
  <si>
    <t>#3128 (1905-1532) #3144 (1905-0)</t>
  </si>
  <si>
    <t>#3134(2322-904) ChemTrain#4#3134(610-0)</t>
  </si>
  <si>
    <t>#3112(1802-1569) #3128(1502-1220) #3148(1906-0)</t>
  </si>
  <si>
    <r>
      <rPr>
        <b/>
        <sz val="11"/>
        <color theme="1"/>
        <rFont val="Arial"/>
        <family val="2"/>
      </rPr>
      <t>Chem Train#4:</t>
    </r>
    <r>
      <rPr>
        <sz val="11"/>
        <color theme="1"/>
        <rFont val="Arial"/>
        <family val="2"/>
      </rPr>
      <t xml:space="preserve"> PM5 Glass window changed</t>
    </r>
  </si>
  <si>
    <t>IS adj,4mm to the right; PM5 Bearing change BL #1; RM1 Encoder Bearing change 6902(1pc.) 6907 (2pcs.); PM6 Cha-base cleaned</t>
  </si>
  <si>
    <t>03.16-03.22</t>
  </si>
  <si>
    <t>PM4 Depo Shields, Cooling Plate and Emitter changed; PM3 Cooling plate changed.</t>
  </si>
  <si>
    <t>#3122(1886-1906)#3140(1129-1099)#3146(1905-0)</t>
  </si>
  <si>
    <t>#3054(1743-1540)#Ulb 105+Subra Tape</t>
  </si>
  <si>
    <t>Ulbrich 42/Ulbrich 105</t>
  </si>
  <si>
    <t>#3124(1899-250)+Chem Train #5</t>
  </si>
  <si>
    <t>with Chem Train #5;280m; Changed heaters at zone 1;encountered Rheed pattern problem</t>
  </si>
  <si>
    <t>#3150(1903-000) + Chem Train #7</t>
  </si>
  <si>
    <t>#3150(670-0) + Chem Train #7</t>
  </si>
  <si>
    <t>Tape Stopped due to</t>
  </si>
  <si>
    <t>#3152(1000-0)</t>
  </si>
  <si>
    <t>R162</t>
  </si>
  <si>
    <t>KTM027--&gt;R162</t>
  </si>
  <si>
    <t>#3150 (1341-670) #3154 (1906-39)</t>
  </si>
  <si>
    <t>#3156 (1888-191) #3152 (1451-1000) + Chem Train #8</t>
  </si>
  <si>
    <t>PM1 Cooling  plate &amp; target shields, PM5 BL 1,2,4,6</t>
  </si>
  <si>
    <t>IS adj.8mm to door side</t>
  </si>
  <si>
    <t>03.23-03.29</t>
  </si>
  <si>
    <t>03.30-04.05</t>
  </si>
  <si>
    <t>PM4 Depo shields; IS adj. 3,5mm to door side</t>
  </si>
  <si>
    <t>#3158(2316-826)#3158(822-222)+Chem Train#9</t>
  </si>
  <si>
    <t>#3160(2309-1388) #3160(1378-0)</t>
  </si>
  <si>
    <t>#3158(221-000) #+Chem Train 10</t>
  </si>
  <si>
    <t>#2974Ref(30m) Chem Train#11</t>
  </si>
  <si>
    <t>#2974Ref(30m) Chem Train#11 Chem Train#12 #2974Ref(30m) #3138(2277-1777) #2974Ref(30m)</t>
  </si>
  <si>
    <t>#3164(1041-563)#3164(1533-1238)#3164(2266-1785)#ChemTrain13</t>
  </si>
  <si>
    <t>KK111/RR124</t>
  </si>
  <si>
    <t>Chem Dept</t>
  </si>
  <si>
    <t>RB111/JA121</t>
  </si>
  <si>
    <t>Tape Stop due to Multiple E-gun Off @1540m Maru Length</t>
  </si>
  <si>
    <t>Tape Stop due to Tape Damage @392m Maru Length</t>
  </si>
  <si>
    <t>#3166(995-281)#3166(2328-1554)#3164(1041-563)#3164(1533-1238) + Chem Train #13</t>
  </si>
  <si>
    <t>RG102/JM113/KK111</t>
  </si>
  <si>
    <t>#3168(1129-529) #3168(2093-1214) + ChemTrain #14</t>
  </si>
  <si>
    <t>RB111/RR124</t>
  </si>
  <si>
    <t>#3172(2326-1200)+#3172(1200-0) ChemTrain #16</t>
  </si>
  <si>
    <t>#3170(2334-2064)#3170 (1569-1967)
#3170 (685-1568)#3170 (330-684)</t>
  </si>
  <si>
    <t>Tape cut due to coolness drop</t>
  </si>
  <si>
    <t>YB Deposition #3162(2111-2351) #3136(1785-1874)</t>
  </si>
  <si>
    <t>Tape Cut due to Kapton Tape | Delayed Vaccum Issue</t>
  </si>
  <si>
    <t>#3174(1876-1154)#3174(1154-654)#3174(654-154) #2974Ref tape in between(20m)</t>
  </si>
  <si>
    <t>#3142 (1689-1) #3142 (2317-1712) ChemTrain #17 RefTape #2974</t>
  </si>
  <si>
    <t>Delayed Tape Delivery | PM3 &amp; PM4 Cooling Plate</t>
  </si>
  <si>
    <t>PM6 Deposition plate and target shield change, PM2 Target shields wrong installation</t>
  </si>
  <si>
    <t>PM4 Emitter change &amp; Deposition shields change</t>
  </si>
  <si>
    <t>#3152 (1551-1451) + RND</t>
  </si>
  <si>
    <t>#3182(2044-1124)#3182(606-0)</t>
  </si>
  <si>
    <t>#3182(1575-1124) #3182(606-0)</t>
  </si>
  <si>
    <t>DS91</t>
  </si>
  <si>
    <r>
      <rPr>
        <b/>
        <sz val="11"/>
        <color theme="1"/>
        <rFont val="Arial"/>
        <family val="2"/>
      </rPr>
      <t>R162--&gt; KTM027</t>
    </r>
    <r>
      <rPr>
        <sz val="11"/>
        <color theme="1"/>
        <rFont val="Arial"/>
        <family val="2"/>
      </rPr>
      <t>; 4mm to the left, 4mm to door side</t>
    </r>
  </si>
  <si>
    <t>#3186(2320-1447)ChemTrain#17##3186(1439-0)</t>
  </si>
  <si>
    <r>
      <t>KTM027--&gt; R117; PM1 target chnaged (4-tile)</t>
    </r>
    <r>
      <rPr>
        <b/>
        <sz val="11"/>
        <color rgb="FFFF0000"/>
        <rFont val="Arial"/>
        <family val="2"/>
      </rPr>
      <t>STOPPED DUE TO TAPE CUT</t>
    </r>
  </si>
  <si>
    <t>#3184(2334-1836) #3184(1753-1327) #3184(622-0)</t>
  </si>
  <si>
    <t>#3194(625-2) #3194(1829-1215) #3194(2298-1839)</t>
  </si>
  <si>
    <t xml:space="preserve"> PM4 adj. 3mm to IS, Cooling plate change, Deposition shields change</t>
  </si>
  <si>
    <t>04.06-04.12</t>
  </si>
  <si>
    <t>04.13-04.19</t>
  </si>
  <si>
    <t>#3178(2318-28)</t>
  </si>
  <si>
    <t>PM5 emitter assy changed</t>
  </si>
  <si>
    <t>#3198(1995-2)</t>
  </si>
  <si>
    <t>PM4 emitter assy change</t>
  </si>
  <si>
    <t>#KM3188(1073-0) RnD</t>
  </si>
  <si>
    <t>KM 105</t>
  </si>
  <si>
    <t>#KM3188(612-0) RnD</t>
  </si>
  <si>
    <t>100/50</t>
  </si>
  <si>
    <t>#KM3208(1037-327)#KM3206(2329-1629)</t>
  </si>
  <si>
    <t>#3202(2323-1760)#3202(1600-0)</t>
  </si>
  <si>
    <t>#3196(2336-1325)#3196(1150-848)#3196(842-639)#3196(633-244)#3196(241-2)</t>
  </si>
  <si>
    <t>Stopped due to Ion Source not responding</t>
  </si>
  <si>
    <t>Adjusted position moved to the Ion source side by 4mm; PM3 PM4 Cooling Plate change; PM6 BL #3,5 Change</t>
  </si>
  <si>
    <t>04.20-04.26</t>
  </si>
  <si>
    <t>#3180(1900-180)#3180(598-0)</t>
  </si>
  <si>
    <t>#3170(420-330) #3180(180-0)</t>
  </si>
  <si>
    <t>PM6 Deposition plate and target shield change; 2mm adj. to Ion Source side</t>
  </si>
  <si>
    <t xml:space="preserve"> #KM3206(1629-829) #3200(1598-1001) #3200(2056-1754)</t>
  </si>
  <si>
    <t>#3200(564-2) #3200(952-650) #3212(1736-1471) #3212(2276-1880)</t>
  </si>
  <si>
    <t>#3212(555-0) #3212(1353-555) #3122(1886-1760) #3122(1661-1545)</t>
  </si>
  <si>
    <t>#3212(555-0) #3212(1353-555)</t>
  </si>
  <si>
    <t>#3216(2775-1882)(1732-1475)CT18#3216(1188-556)(556-0)</t>
  </si>
  <si>
    <t>RND; PM4 Emitter Change; PM5 V Spring change</t>
  </si>
  <si>
    <t>PM4 Depo shields changed;R117-&gt;R162(2X)</t>
  </si>
  <si>
    <t>PM1 Cooling Plate change, RF cable change;; Target shields change; YB deposition; Tape Jam</t>
  </si>
  <si>
    <t>Encountered Material Jam Rewinder (780-812m affected)</t>
  </si>
  <si>
    <t>#3210(2274-1882) #3210(555-2) #3210(1465-555) #3210(1872-1468)</t>
  </si>
  <si>
    <t>with YB rpoduction + PM6 deposition only</t>
  </si>
  <si>
    <t>#3134(2322-1437)#3216(455-188)</t>
  </si>
  <si>
    <t>#3222(1961-1469) #3222(1466-1187) #3222(1187-675) #3222(555-2)</t>
  </si>
  <si>
    <t>#3228(1277-1449) #3228(1750-2170) #3228(2195-2350)</t>
  </si>
  <si>
    <t>#3226(1651-001)</t>
  </si>
  <si>
    <t>#3214(935-0) #3214(1715-939) #3214(1943-1718)</t>
  </si>
  <si>
    <t>04.27-05.03</t>
  </si>
  <si>
    <t>05.04-05.10</t>
  </si>
  <si>
    <t>PM1Bearing change TL #6</t>
  </si>
  <si>
    <t>05.11-05.17</t>
  </si>
  <si>
    <t>PM4 Depo shields changed</t>
  </si>
  <si>
    <t>#3230(2276-1879) #3230(555-80) #3230(1186-674)
#3230(1466-1186) #3230(1735-1469) Chem Train #19</t>
  </si>
  <si>
    <t>#3232(641-2) #3232(902-657) #3232(1491-902) #3232(1678-1491) #3232(2352-1682) Chem Train #20</t>
  </si>
  <si>
    <t xml:space="preserve">PM1 - TP &amp; BR 0 and 9; PM2-Cooling plate &amp; Target Shields changed </t>
  </si>
  <si>
    <t>#3218 (2-556) #3218 (1886-2277) #3218 (1470-1876)</t>
  </si>
  <si>
    <t>#KM3246(1077-0)</t>
  </si>
  <si>
    <t>#3234 (2368-480) #3234(215-0)</t>
  </si>
  <si>
    <r>
      <t>PM4 Emitter Changed, Copper Cooling Plate Changed; PM5 V-spring &amp; O-spring changed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Tape stopped due to material Jam</t>
    </r>
  </si>
  <si>
    <t>#3236(700-0) #3236(1150-700) RnD</t>
  </si>
  <si>
    <t>US100</t>
  </si>
  <si>
    <t>#3236(2368-1150) #3152(1556-1551)#KM3250(825-0)</t>
  </si>
  <si>
    <t>Ulbrich 42/KM</t>
  </si>
  <si>
    <t>DPM4 Depo shields; Adj. IS 2mm to Door side; PM6 BL #2,3</t>
  </si>
  <si>
    <t>#KM3254(826-0)#3152(1581-1566)#3248(2398-1200)</t>
  </si>
  <si>
    <t>PM6 Ch-Base cleaned; PM6 BL #4;IS moved 1mm to IS side</t>
  </si>
  <si>
    <t>05.18-05.24</t>
  </si>
  <si>
    <t>#3244(2398-0)</t>
  </si>
  <si>
    <t xml:space="preserve">PM1 Top Right: 5,8 Bottom Left: 2,7; PM2 BL 1
</t>
  </si>
  <si>
    <t>#3248(1200-0)</t>
  </si>
  <si>
    <t>#KM3258 (822-0) #KM3208 (337-12) #SUBRA65B2(304-0)</t>
  </si>
  <si>
    <t>JA121/MV125</t>
  </si>
  <si>
    <t>SUBRA/KM</t>
  </si>
  <si>
    <r>
      <t xml:space="preserve">PM2 Target changed(25407kWh); PM5: BL#0,9, TR#0; PM6: BL#1; </t>
    </r>
    <r>
      <rPr>
        <sz val="11"/>
        <color rgb="FFFF0000"/>
        <rFont val="Arial"/>
        <family val="2"/>
      </rPr>
      <t>Tape stopped due to material Jam</t>
    </r>
  </si>
  <si>
    <t xml:space="preserve">#3240(2396-2) </t>
  </si>
  <si>
    <t>#KM3260(826-0)#3152(1596-1581)#SUBRA 65B2(304-0)#KM3208(337-12)</t>
  </si>
  <si>
    <t xml:space="preserve">RnD </t>
  </si>
  <si>
    <t>KM 100</t>
  </si>
  <si>
    <t>100/</t>
  </si>
  <si>
    <t>#KM3264(821-0) #3152(1596-1581) #KM3246(430-30) #SUBRA 6432 (297-0) #KM3246(30-0)</t>
  </si>
  <si>
    <t>Kanematsu / Subra</t>
  </si>
  <si>
    <t>35/100</t>
  </si>
  <si>
    <t>PM4 COPPER COOLING PLATE CHANGED</t>
  </si>
  <si>
    <t xml:space="preserve">KM </t>
  </si>
  <si>
    <t>#3252(2237-1904)#KM3268(451-0)</t>
  </si>
  <si>
    <t xml:space="preserve">Change Grids from R162 --&gt; to R117;  PM1&amp;PM3 Cooling Plate and target shields; PM6 Depo&amp;Target shields; PM4: Depo shields; PM5 TL#3, BL#4; </t>
  </si>
  <si>
    <t>#3266(2349-128)</t>
  </si>
  <si>
    <t xml:space="preserve">#3252(1895-2)#KM3268(451-0) </t>
  </si>
  <si>
    <t>KM/Ulbrich 42</t>
  </si>
  <si>
    <t>39/35</t>
  </si>
  <si>
    <t>05.25-05.31</t>
  </si>
  <si>
    <t>2mm to DS; Chiller water refill;</t>
  </si>
  <si>
    <t>#3256(945-240) #3256(1445-1005) #3256(1802-1487) #3152(1626-1611) #KM3270(825-15)</t>
  </si>
  <si>
    <t>39/36</t>
  </si>
  <si>
    <t>PM6 BL:#1,#6</t>
  </si>
  <si>
    <t>new Ion Source installed; Ion Source adjusted 2mm on Ion Source side; PPG to R117</t>
  </si>
  <si>
    <t>#3262 (2-558) #3262 (562-1230) #3262 (1282-1589) #2974 (498-148)</t>
  </si>
  <si>
    <t>36/37</t>
  </si>
  <si>
    <t>MV125/KK111/JM113</t>
  </si>
  <si>
    <t>#KM3282(822-0) #KM3278(825-0) #KM3258(189-0)</t>
  </si>
  <si>
    <t>37/39/40</t>
  </si>
  <si>
    <t>Tape Stopped dueto scratches/tape damage ;4-6mm MgO</t>
  </si>
  <si>
    <t>#3192(1154-141)#3192(1989-1475)#3152(1656-1641)#3192(2198-1991)</t>
  </si>
  <si>
    <t>R166</t>
  </si>
  <si>
    <t>Change Grids from R117 --&gt; R166(New) ; PM4 Cooling Plate, adj. 8mm to left, 18mm to IS side; PM5 emitter change; Back to5-6mm MgO</t>
  </si>
  <si>
    <t>#3276 (820-557) (1359-824) (2344-1362)</t>
  </si>
  <si>
    <t>JA57</t>
  </si>
  <si>
    <t>Grids : R166 to R162  | Changed Bearing : PM4  TL - 3 BR - 9 TP - 1  PM 5 BL - 8 PM 6 BL - 2,3</t>
  </si>
  <si>
    <t>06.01-06.07</t>
  </si>
  <si>
    <t>#3280(2343-1923) #3280(1890-1134) #3280(928-188)</t>
  </si>
  <si>
    <t>2 036</t>
  </si>
  <si>
    <t>Cryopump auto regeneration</t>
  </si>
  <si>
    <t>#KM3292(820-0) #KM3290(820-2) #KM3294(790-0)</t>
  </si>
  <si>
    <t>#KM3238(2331-1731)#TK3284(345-295)#KM3274(1076-476) #1264(130-100)</t>
  </si>
  <si>
    <t>JM113/KK111</t>
  </si>
  <si>
    <t>Kanematsu/ULB/Tokkin</t>
  </si>
  <si>
    <t>45/100</t>
  </si>
  <si>
    <t>#3272(480-0) #3272(843-480) #3272(2233-870)</t>
  </si>
  <si>
    <t>#KM3282(445-0)#KM3288(820-0)</t>
  </si>
  <si>
    <t>RnD Depo 100/45 um/2.5m/min;Tape Cut!</t>
  </si>
  <si>
    <t>PM6 BL#7; Refill DI Water on Chiller; PM4 Depo shields; BL #2,5,6,7; PM2 Ch-base</t>
  </si>
  <si>
    <t>PM5 Tape Allignment TL Ion Source side 29,90mm to 29,68mm; BL #1,3,4; PM6 BL #7; Tape cut at PM1</t>
  </si>
  <si>
    <t>PPG G1</t>
  </si>
  <si>
    <t>#3256 (2077-2345) #3256 (220-2)</t>
  </si>
  <si>
    <r>
      <rPr>
        <b/>
        <sz val="11"/>
        <color theme="1"/>
        <rFont val="Arial"/>
        <family val="2"/>
      </rPr>
      <t>YELLOW BUFFER DEPOSITION</t>
    </r>
    <r>
      <rPr>
        <sz val="11"/>
        <color theme="1"/>
        <rFont val="Arial"/>
        <family val="2"/>
      </rPr>
      <t>; Change Grids from R162 --&gt; Parallel Grid</t>
    </r>
  </si>
  <si>
    <t>#42ULB 3286 (957-343) #42ULB 3286 (1896-957) #42ULB 3286 (2235-1907)</t>
  </si>
  <si>
    <t>#3298 (828-503)</t>
  </si>
  <si>
    <r>
      <t xml:space="preserve">RND: (957-343) 2.5m/min ; (1896-957) 3m/min ; (2235-1907) 3.5m/min; </t>
    </r>
    <r>
      <rPr>
        <b/>
        <sz val="11"/>
        <rFont val="Arial"/>
        <family val="2"/>
      </rPr>
      <t>PM1 Cooling plate &amp; target shield; PM4 Cooling plate; PM6 Target shield;</t>
    </r>
  </si>
  <si>
    <r>
      <rPr>
        <b/>
        <sz val="11"/>
        <color theme="1"/>
        <rFont val="Arial"/>
        <family val="2"/>
      </rPr>
      <t xml:space="preserve">Change Grids from Parallel Grid --&gt;  R162; </t>
    </r>
    <r>
      <rPr>
        <sz val="11"/>
        <color theme="1"/>
        <rFont val="Arial"/>
        <family val="2"/>
      </rPr>
      <t xml:space="preserve">Change PM4 3lanes to 4lanes then revert back to 3lanes; Changed Cooling plate to old. </t>
    </r>
    <r>
      <rPr>
        <b/>
        <sz val="11"/>
        <color theme="1"/>
        <rFont val="Arial"/>
        <family val="2"/>
      </rPr>
      <t>------YELLOW BUFFER DEPOSITION------</t>
    </r>
  </si>
  <si>
    <t>#KM3304(816-0)#3298(1807-933)#3298(2235-1903)</t>
  </si>
  <si>
    <t>Replaced Accelerator Cables; Replaced Numi Foil on RF Cables; adjust 2mm to doorside</t>
  </si>
  <si>
    <t>#3308(2290-25)</t>
  </si>
  <si>
    <t>PM4 depo shield changed;ion soure position moved 3mm to door side</t>
  </si>
  <si>
    <t>#3262(2032-1884)#3262(1847-1645)</t>
  </si>
  <si>
    <r>
      <t xml:space="preserve">PM4 Change and add insulators in Ion Source RF Line </t>
    </r>
    <r>
      <rPr>
        <b/>
        <sz val="11"/>
        <color theme="1"/>
        <rFont val="Arial"/>
        <family val="2"/>
      </rPr>
      <t>------YELLOW BUFFER DEPOSITION------</t>
    </r>
  </si>
  <si>
    <t>#KM3300(819-0) #KM3312(819-0) #KM3296(754-0)</t>
  </si>
  <si>
    <t>Change Grids from R162 to R166 then back to R162 again; Ion source multiple Troubleshooting; Adj, 2,5 to IS side. PM6 Dark Shield Cooling Line cleaned.</t>
  </si>
  <si>
    <t>#KM3318(823-0)#KM3302(819-5)</t>
  </si>
  <si>
    <t>Change: Work Week Coverage based on Tape Movement Start Time</t>
  </si>
  <si>
    <t>Before:Work Week Coverage based on Tape Movement End Time</t>
  </si>
  <si>
    <t>#3316(750-0)#3316(2327-754)</t>
  </si>
  <si>
    <t>PM5 V spring; PM$ adj. 1.5mm to DS</t>
  </si>
  <si>
    <t>PM2 Cooling Plate &amp; target shields; PM6 heaters Zone 3</t>
  </si>
  <si>
    <t>#3324(318-0) #3324(2325-325)</t>
  </si>
  <si>
    <t>PM4 Depo shields &amp;  Cooling Plate ; PM6: Bearing Replaced BL # 3,4,5,6</t>
  </si>
  <si>
    <t>YB Deposition  #3298(503-179)</t>
  </si>
  <si>
    <t>R117-R166(1x), PM4 full range change, Install new RF mesh</t>
  </si>
  <si>
    <t>#3322(2098-1353)#3322(1298-160)</t>
  </si>
  <si>
    <t>06.08-06.14</t>
  </si>
  <si>
    <t>#3314(2323-1756) #3314(1583-000)</t>
  </si>
  <si>
    <t>Adj. 1mm to IS side</t>
  </si>
  <si>
    <t>06.15-06.21</t>
  </si>
  <si>
    <t>#3338(1928-1628)#3338(2228-1928)</t>
  </si>
  <si>
    <t>R166 to PPG; 3-Lanes to 4-Lanes; RnD</t>
  </si>
  <si>
    <t>#3334(2225-1457) #3334(1457-0)</t>
  </si>
  <si>
    <t>Cooling Plate &amp; Depo Shields Changed ; Bearings 4 Lanes to 3 Lanes ; Adj 23mm to Ion Source Side</t>
  </si>
  <si>
    <t>#KM3310(818-0)</t>
  </si>
  <si>
    <t>PM4 Emitter Change 2x; PM5 BL #2 ;PM6 BL #2;  Tape was stop Due toTape Damage</t>
  </si>
  <si>
    <t>#3330(2258-740) #3330(739-373) #3330(373-57)</t>
  </si>
  <si>
    <t>LB150/JM126</t>
  </si>
  <si>
    <t>Adjusted IS 1.5mm to IS Side</t>
  </si>
  <si>
    <t>#3340(2225-1925) #3340(1925-1625)</t>
  </si>
  <si>
    <t>PM1: Cooling Plate &amp; Target Shields ; PM4: 3 Lanes Change to 4 Lanes, Grids changed R166 to PPG GRAFF1 ; PM5: BL bearings changed 1 to 8 ; PM6: Target Shields and Cooling Plate. Zone 4 Heaters Control &amp; Monitoring was changed. TAPE STPPED DUE TO TAPE DAMAGED</t>
  </si>
  <si>
    <t>TAPE CUT</t>
  </si>
  <si>
    <t>#3220(360-60)</t>
  </si>
  <si>
    <t>R162(4x)</t>
  </si>
  <si>
    <t>#3338(1628-0)#KM3238(1731-1711)</t>
  </si>
  <si>
    <t>Ulbrich 42/Kanematsu</t>
  </si>
  <si>
    <t>36/45</t>
  </si>
  <si>
    <t>#3332(2345-65)#3360(28-2)#3362(28-2)</t>
  </si>
  <si>
    <t>Grids changed from PPG G1 to R162 (4x), PM4 cooling plate changed;TAPE STOP due to Damage at PM4</t>
  </si>
  <si>
    <t>#KM3310(657-0)#KM3274(400-0)#SUBRA73B2(334-0)
#KM3274(476-400)</t>
  </si>
  <si>
    <t>Ulb 42/KM/SUBRA</t>
  </si>
  <si>
    <t>39/100</t>
  </si>
  <si>
    <t>06.22-06.28</t>
  </si>
  <si>
    <t>#KM3352(1071-156) #1264(265-245)</t>
  </si>
  <si>
    <t>#3344(2288-1680)#3344(1680-95) +1.5m Shanghai Buffer</t>
  </si>
  <si>
    <t>#3340(1625-1573) #3340(1573-1521) #3340(1521-1469) #3340(1469-1417)</t>
  </si>
  <si>
    <t>#3338(561-0)#3340(1417-0)</t>
  </si>
  <si>
    <t>RG102/RB115</t>
  </si>
  <si>
    <t>PM4: Emitter Change</t>
  </si>
  <si>
    <t>4 LANES; PPG ; PM2 CH BASE; DEPO SHIELDS; COOLING PLATE; PM5 TL 0.2MM D.S</t>
  </si>
  <si>
    <t xml:space="preserve">PPG TO R162; 3 LANES; PM4: COOLING PLATE </t>
  </si>
  <si>
    <t>KK111/RG102/JM126</t>
  </si>
  <si>
    <t>PM5: 0-SPRING ; PM 6 BL #1; Slight Tape Damage IS side</t>
  </si>
  <si>
    <t>#3326(2332-4)</t>
  </si>
  <si>
    <t>PM4 adj.1,5mm to DS;PM1: BL #1,5;PM5:BL #2,3,4,6,8;PM6:BL#3,4,5,6,7; PM1 Target shields</t>
  </si>
  <si>
    <t>#3358(2281-1679)#3358(1676-0)</t>
  </si>
  <si>
    <t>PM4 adj.3mm to IS; PM4 Depo Shields; PM5: EmitterAssy.;PM5: CL Heaters; PM3:CL Substrate</t>
  </si>
  <si>
    <t>#3336(2234-0)</t>
  </si>
  <si>
    <t>R156</t>
  </si>
  <si>
    <t>R156(2x)</t>
  </si>
  <si>
    <t>06.29-07.05</t>
  </si>
  <si>
    <t>Grids change from R162 to R156 then to R155;</t>
  </si>
  <si>
    <t>#3342(2226-2076) #3342(2076-72) #3262(2052-2032)</t>
  </si>
  <si>
    <t>#3328(2324-150)</t>
  </si>
  <si>
    <t>#3364(2153-0)</t>
  </si>
  <si>
    <t>4mm to IS side, PM4 emitter</t>
  </si>
  <si>
    <t>PM1 Target change</t>
  </si>
  <si>
    <t>#3376(2200-0)</t>
  </si>
  <si>
    <r>
      <rPr>
        <b/>
        <sz val="11"/>
        <color theme="1"/>
        <rFont val="Arial"/>
        <family val="2"/>
      </rPr>
      <t>R155--&gt; R162;</t>
    </r>
    <r>
      <rPr>
        <sz val="11"/>
        <color theme="1"/>
        <rFont val="Arial"/>
        <family val="2"/>
      </rPr>
      <t xml:space="preserve"> PM4 V spring &amp; Cooling Plate; RM1 small bearing; Auto Regen.; 2mm to Door side</t>
    </r>
  </si>
  <si>
    <t>#3356(716-0)#3356(1679-718)#3356(2283-1679)</t>
  </si>
  <si>
    <t>PM1 Cooling Plate;</t>
  </si>
  <si>
    <t>PM4 Depo shields;</t>
  </si>
  <si>
    <t>#3372(614-0)#3372(1392-615)#3372(2328-1408)</t>
  </si>
  <si>
    <t>#3374(1681-0) #3374(2288-1682)</t>
  </si>
  <si>
    <t>07.06-07.12</t>
  </si>
  <si>
    <t>#3380(2398-0)</t>
  </si>
  <si>
    <t>#3366(998-553) #3366(2330-1566) #3368(1526-1214) #3368(2330-1541)</t>
  </si>
  <si>
    <t>PM4 Camera glass window changed</t>
  </si>
  <si>
    <t>PM6 New Target; PM6 Depo Shields;</t>
  </si>
  <si>
    <t>#3370(1055-524)#3370(2321-1180)</t>
  </si>
  <si>
    <t>#3378(1890-176)</t>
  </si>
  <si>
    <t>NO SHUTDOWN AND VENT AFTER END DEPO; SCADA needs to be fixed at J shift</t>
  </si>
  <si>
    <t>#3382(1300-816)#3382(780-2)#3368(909-551)</t>
  </si>
  <si>
    <t>KK111/LB150</t>
  </si>
  <si>
    <t>PM2 Cooling Plate, SCADA Maintenance</t>
  </si>
  <si>
    <t>#KM3384(1074-0)</t>
  </si>
  <si>
    <t>Kanematsu 105</t>
  </si>
  <si>
    <t>#KM3354(2318-1994)#KM3354(1930-1657)#KM3354(1381-0)</t>
  </si>
  <si>
    <t>Kanematsu 50</t>
  </si>
  <si>
    <t>PM5 BL 0-8; PM6 BL 1,2</t>
  </si>
  <si>
    <t>PM5 O-spring; PM1 BL #1; PM4 Depo shields, copper plate</t>
  </si>
  <si>
    <t>#KM3348(2326-0)</t>
  </si>
  <si>
    <t>PM5 V-spring; PM6 BL 3,4,8; PM1 TL#3</t>
  </si>
  <si>
    <t>07.13-07.19</t>
  </si>
  <si>
    <t>PM4: Cooling Plate, Depo Shields, Emitter, Adjusted 1mm DS</t>
  </si>
  <si>
    <t>#KM3238(1711-4)</t>
  </si>
  <si>
    <t xml:space="preserve">#3322(2098-1798) </t>
  </si>
  <si>
    <t>YB Deposition</t>
  </si>
  <si>
    <t>#KM3400(1213-1034) #KM3400(900-0)</t>
  </si>
  <si>
    <t>#KM3346(1052-1062)#KM3398(000-1240)#KM3404(000-1336)#KM3346(1062-1072)</t>
  </si>
  <si>
    <t>KK111/JA121</t>
  </si>
  <si>
    <t>Kanematsu 105/50</t>
  </si>
  <si>
    <t>100/45</t>
  </si>
  <si>
    <t>#KM3406(1306-1152)#VDM(Exp1-Exp2)#KM3408#KM3406</t>
  </si>
  <si>
    <t>KK111/JM113</t>
  </si>
  <si>
    <t>VDM/KM 50</t>
  </si>
  <si>
    <t>43/45</t>
  </si>
  <si>
    <t>New Hastelloy(VDM)</t>
  </si>
  <si>
    <t>#KM3414(1000-1418)#KM3396 (57-498) #KM3414 (000-1000)</t>
  </si>
  <si>
    <t>PM1: CLEAN SUBSTRATE COOLING LINE; PM4: 0-SPRING CHANGE; PM6: CHANGE BEARING BL5,6,7 &amp; SHIELD FRAME COOLING LINE CLEANED</t>
  </si>
  <si>
    <t>MV125/US100</t>
  </si>
  <si>
    <t>Tape Cut at PM1; PM4 Depo Shield; PM1 Cooling Plate; PM2 Ch-base cleaning; PM6 Sh-frame</t>
  </si>
  <si>
    <r>
      <rPr>
        <sz val="11"/>
        <color rgb="FFFF0000"/>
        <rFont val="Arial"/>
        <family val="2"/>
      </rPr>
      <t xml:space="preserve">#KM3418(1418-0) </t>
    </r>
    <r>
      <rPr>
        <sz val="11"/>
        <color theme="1"/>
        <rFont val="Arial"/>
        <family val="2"/>
      </rPr>
      <t>#KM3422(1333-357)</t>
    </r>
  </si>
  <si>
    <t>Tape Stop due to TMP Malfunction</t>
  </si>
  <si>
    <t>#KM3422(335-0) #KM3412(1426-0)</t>
  </si>
  <si>
    <t>#KM3410(1426-0)#KM3426(828-0)</t>
  </si>
  <si>
    <t>#KM3426 (932-1333) #KM3418 (000-1418) #KM3422 (357-603)</t>
  </si>
  <si>
    <t>PM3: COOLING PLATE CHANGED</t>
  </si>
  <si>
    <t>PM6: COOLING PLATE CHANGED; PM4: COOLING PLATE CHANGED, EMITTER CHANGED, ADJ 1mm TO IS SIDE</t>
  </si>
  <si>
    <t>07.20-07.26</t>
  </si>
  <si>
    <t>#KM3416(714-000) #KM3424(1255-533) #KM3424(464-305) #KM3424(298-000)</t>
  </si>
  <si>
    <t xml:space="preserve">R162--&gt; R166(2x); </t>
  </si>
  <si>
    <t>PM5 BL:3,4,5,6,7,8 (Used Good)</t>
  </si>
  <si>
    <t>#KM3420(1418-22) #KM3430(1336-628)</t>
  </si>
  <si>
    <t>#KM3416(714-1428)#KM3432(1328-997)#KM3432(971-000)</t>
  </si>
  <si>
    <t>Auto Regen; Pm4 Depo Shields</t>
  </si>
  <si>
    <t>PM2 Cooling Plate ad Target shields; Adj 1mm to DS</t>
  </si>
  <si>
    <t>#KM3436(1336-1013)#KM3430(625-0)#KM3428(1318-17)</t>
  </si>
  <si>
    <t>#KM3436(371-0)#KM3436(972-374)
#KM3440(1248-822)#KM3440(821-258)#KM3440(256-75)</t>
  </si>
  <si>
    <t>PM5: All Shaft Bearing Changed, QCM Assembly, E-Gun Assembly</t>
  </si>
  <si>
    <t>#KM3444(177-0)(709-196)(1075-858)(1328-1118)#KM3446(1333-856)(833-492)(436-0)</t>
  </si>
  <si>
    <t>#KM3460(1315-0)#KM3452(1153-0)</t>
  </si>
  <si>
    <t>Tape Stop due to Power Outage</t>
  </si>
  <si>
    <t>#KM3448(758-372)#KM3442(657-298)</t>
  </si>
  <si>
    <t>07.27-08.02</t>
  </si>
  <si>
    <t>PM4: R166 to PPG; 3-Lanes to 4-Lanes; RnD; Depo shields; 5mm to DS, 6mm to the Right</t>
  </si>
  <si>
    <t>#3306(866-119)#3306(913-1132)#3306(866-119) RnD</t>
  </si>
  <si>
    <t>#3340(2125-1925)#3356(716-0)RnD</t>
  </si>
  <si>
    <t>PPG--&gt; R009 4 Lanes</t>
  </si>
  <si>
    <t>#3370 (222-522)#3368(93-282)#3366 (96-284)</t>
  </si>
  <si>
    <t>R046</t>
  </si>
  <si>
    <t>R009 4 Lanes -- &gt; R046 5 Lanes;PM4  Cooling Plate</t>
  </si>
  <si>
    <t>#3370(222-0)#3368(205-93)</t>
  </si>
  <si>
    <r>
      <rPr>
        <b/>
        <sz val="11"/>
        <color theme="1"/>
        <rFont val="Arial"/>
        <family val="2"/>
      </rPr>
      <t>R046---&gt;R162(6x)</t>
    </r>
    <r>
      <rPr>
        <sz val="11"/>
        <color theme="1"/>
        <rFont val="Arial"/>
        <family val="2"/>
      </rPr>
      <t xml:space="preserve"> 5 Lanes back to 3 Lanes; PM4  Deposition Shield Changed</t>
    </r>
  </si>
  <si>
    <t>#3462(2271-57)</t>
  </si>
  <si>
    <t>PM6: Target  Changed, O-ring of Table, Tape Cut</t>
  </si>
  <si>
    <t>#3470 (2270-0)</t>
  </si>
  <si>
    <t>#3458 (2182-0)</t>
  </si>
  <si>
    <t>PM4 Emitter and Cooling Plate Change</t>
  </si>
  <si>
    <t>#3474 (000-2141) Chem Train#19</t>
  </si>
  <si>
    <t>PM3 CoolingPlate and Target shields; Adj. 4mm to Door side</t>
  </si>
  <si>
    <t>08.03-08.09</t>
  </si>
  <si>
    <t>#3472(2275-0)</t>
  </si>
  <si>
    <t xml:space="preserve">PM4: R162 to PPG; 3-Lanes to 4-Lanes;  Depo shields; </t>
  </si>
  <si>
    <t>#3464(2143-10)RnD</t>
  </si>
  <si>
    <t>#3468(2140-0)</t>
  </si>
  <si>
    <t>#3476(2140-0) #3370(522-222)</t>
  </si>
  <si>
    <t>08.17-08.23</t>
  </si>
  <si>
    <t>5 days</t>
  </si>
  <si>
    <t>#3480(234-1993)</t>
  </si>
  <si>
    <t>Auto-regen; PM4 Emitter, Cooling plate (4lanes); PM6 Depo Shields</t>
  </si>
  <si>
    <t>#3482 (134-1929)#3482 (1929-2258)</t>
  </si>
  <si>
    <t>PPG---&gt;R162(7x) (3 Lanes)</t>
  </si>
  <si>
    <t>#3484(2127-330)#3484(330-0)</t>
  </si>
  <si>
    <t>#3486(2128-13)</t>
  </si>
  <si>
    <t>#3488(2252-20)</t>
  </si>
  <si>
    <t>PM4 Emitter; PM6 TL # 3,4,6 and New Coupling; Adj. 1.5mm to DS</t>
  </si>
  <si>
    <t>#3490(2124-0)</t>
  </si>
  <si>
    <t>PM1 Cooling Plate and Target shields</t>
  </si>
  <si>
    <t>08.24-08.30</t>
  </si>
  <si>
    <t>PM4 Depo shields moved 4mm to left and  O-spring changed</t>
  </si>
  <si>
    <t>#3492(2095-0)</t>
  </si>
  <si>
    <t>#3494(2141-0)</t>
  </si>
  <si>
    <t>PM3 Cooling Plate and Target shields; PM4 Cooling Plate and Emitter Assy.; Adj. 1.5mm to DS</t>
  </si>
  <si>
    <t>#KM3450(1337-0)#KM3448(1116-759)</t>
  </si>
  <si>
    <t>PM4:Adj. 1mm to IS;Emitter Assy.</t>
  </si>
  <si>
    <t>45/37</t>
  </si>
  <si>
    <t>Kanematsu 50/Ulb. 42</t>
  </si>
  <si>
    <r>
      <t>#KM3454(1311-0)#3494(690-0)#3220(150-100)</t>
    </r>
    <r>
      <rPr>
        <b/>
        <sz val="11"/>
        <color rgb="FFFF0000"/>
        <rFont val="Arial"/>
        <family val="2"/>
      </rPr>
      <t>RnD</t>
    </r>
  </si>
  <si>
    <t>#KM3502(175-504)#KM3502(506-1426)#KM3448(98-370)#KM3442(1640-1894)#KM3448(1117-1328)</t>
  </si>
  <si>
    <t>LB150</t>
  </si>
  <si>
    <t>PM2: COOLING PLATE CHANGED/TARGET SHIELD; PM5 BL whole shaft condition was checked</t>
  </si>
  <si>
    <t>#3496(1000-0)</t>
  </si>
  <si>
    <r>
      <t xml:space="preserve">#3480(234-648) </t>
    </r>
    <r>
      <rPr>
        <b/>
        <sz val="11"/>
        <color rgb="FFFF0000"/>
        <rFont val="Arial"/>
        <family val="2"/>
      </rPr>
      <t>RnD Exp1~Exp10+DMY(10x)</t>
    </r>
  </si>
  <si>
    <t>WW36</t>
  </si>
  <si>
    <t>RG102/JA121</t>
  </si>
  <si>
    <t>R074</t>
  </si>
  <si>
    <r>
      <rPr>
        <b/>
        <sz val="11"/>
        <color rgb="FFFF0000"/>
        <rFont val="Arial"/>
        <family val="2"/>
      </rPr>
      <t>PM4: R162--&gt;R074</t>
    </r>
    <r>
      <rPr>
        <sz val="11"/>
        <color theme="1"/>
        <rFont val="Arial"/>
        <family val="2"/>
      </rPr>
      <t>; Depo Shields; PM5: Emitter Assy</t>
    </r>
  </si>
  <si>
    <t>#3356(336-0)</t>
  </si>
  <si>
    <t>08.31-09.06</t>
  </si>
  <si>
    <r>
      <t xml:space="preserve">PM4: R074--&gt;R162; </t>
    </r>
    <r>
      <rPr>
        <sz val="11"/>
        <rFont val="Arial"/>
        <family val="2"/>
      </rPr>
      <t>Cooling Plate Changed; PM6 Depo Shields Changed</t>
    </r>
  </si>
  <si>
    <t>LB150/JA121</t>
  </si>
  <si>
    <t>45/37,6</t>
  </si>
  <si>
    <t>#KM3514 (000-1285) #KM3506 (815-1423)
#KM3506 (544-813) #KM3506 (000-542)</t>
  </si>
  <si>
    <t>#KM3504(2-501)#KM3504(505-944)#KM3504(944-1415)#3496(2182-1600)</t>
  </si>
  <si>
    <t>48.2</t>
  </si>
  <si>
    <t>#KM3512 (000-800)</t>
  </si>
  <si>
    <t>PM6 Heaters Zone 2&amp;#</t>
  </si>
  <si>
    <t>PM5 V-spring and O-spring</t>
  </si>
  <si>
    <t>#3498 (177-577) #3498 (57-177) EXP 7-9</t>
  </si>
  <si>
    <t>#KM3520(1313-97)#KM3508(1398-873)#KM3508(449-0)</t>
  </si>
  <si>
    <t>47.3/48.1</t>
  </si>
  <si>
    <t>WW37</t>
  </si>
  <si>
    <t>#KM3516(1423-0)</t>
  </si>
  <si>
    <t>48.7</t>
  </si>
  <si>
    <t>PM1 Cooling Plate; PM4 Depo Shields</t>
  </si>
  <si>
    <t>09.07-09.13</t>
  </si>
  <si>
    <t>PM5 QCM Head - Tighten pins</t>
  </si>
  <si>
    <t>#KM3516(1423-0)#KM3522(973-100)</t>
  </si>
  <si>
    <t>#34969(1600-1300)</t>
  </si>
  <si>
    <t>R114</t>
  </si>
  <si>
    <t>#KM3510(1423-000) #KM3522(1311-1000)</t>
  </si>
  <si>
    <t>48,1/47,2</t>
  </si>
  <si>
    <t>#KM3526 (1335-0)#KM3528 (673-1333)</t>
  </si>
  <si>
    <t>Kanematsu 51</t>
  </si>
  <si>
    <t>46/45</t>
  </si>
  <si>
    <r>
      <rPr>
        <b/>
        <sz val="11"/>
        <color rgb="FFFF0000"/>
        <rFont val="Arial"/>
        <family val="2"/>
      </rPr>
      <t>R114--&gt;R162</t>
    </r>
    <r>
      <rPr>
        <sz val="11"/>
        <color theme="1"/>
        <rFont val="Arial"/>
        <family val="2"/>
      </rPr>
      <t xml:space="preserve"> Adj ion source position 9mm to the left and 2mm to the door side</t>
    </r>
  </si>
  <si>
    <r>
      <rPr>
        <b/>
        <sz val="11"/>
        <color rgb="FFFF0000"/>
        <rFont val="Arial"/>
        <family val="2"/>
      </rPr>
      <t>R162--&gt;R114</t>
    </r>
    <r>
      <rPr>
        <sz val="11"/>
        <color theme="1"/>
        <rFont val="Arial"/>
        <family val="2"/>
      </rPr>
      <t>; PM3 Cooling Plate</t>
    </r>
  </si>
  <si>
    <t>#3496(1300-1000) CHEMTRAIN#20 RnD(EXP9-10)</t>
  </si>
  <si>
    <t>PM2 Cooling Plate, PM3 Ch-base, PM4 Glass Window</t>
  </si>
  <si>
    <t>#KM3518 (000-1298) #KM3528 (10-673)</t>
  </si>
  <si>
    <t>45.3/47</t>
  </si>
  <si>
    <t>Tape Cut!</t>
  </si>
  <si>
    <t>#3498(2140-1677)#TK3538(730-150)</t>
  </si>
  <si>
    <t>WW38</t>
  </si>
  <si>
    <t>Ulb. 42/Tokkin 42</t>
  </si>
  <si>
    <t>39.1/37</t>
  </si>
  <si>
    <t>PM4 Depo Shields,Emitter Assy., Adj.1mm to IS side</t>
  </si>
  <si>
    <t>#3498(1677-1077)</t>
  </si>
  <si>
    <t>#3500(2125-1625)#TK3542(856-1)#TK3540(857-0)</t>
  </si>
  <si>
    <t>09.14-09.20</t>
  </si>
  <si>
    <r>
      <t xml:space="preserve">PM6 Depo &amp; Target Shield; PM4 Cooling Plate; </t>
    </r>
    <r>
      <rPr>
        <b/>
        <sz val="11"/>
        <color rgb="FFFF0000"/>
        <rFont val="Arial"/>
        <family val="2"/>
      </rPr>
      <t>R121 to R162</t>
    </r>
  </si>
  <si>
    <t>#3500 (1125-1625)+RnD Chem Train #20+EXP9-10</t>
  </si>
  <si>
    <t>37/38</t>
  </si>
  <si>
    <t>R121;R141</t>
  </si>
  <si>
    <t>R141 (Error -71-) --&gt; R121</t>
  </si>
  <si>
    <t>Adj. 1mm  to DS and 1mm to the right; keeper</t>
  </si>
  <si>
    <t>#3478(331-0) #3478(331-2259)</t>
  </si>
  <si>
    <t>38.8</t>
  </si>
  <si>
    <t>R162  (Error -71-) --&gt; R074</t>
  </si>
  <si>
    <t>#3500 (1125-1485) with Chem Train #20 #3498 (17-97) EXP 9-10</t>
  </si>
  <si>
    <t>#3500 (1125-0) #3498(1077-577)</t>
  </si>
  <si>
    <t>#KM3530 (1423-0)</t>
  </si>
  <si>
    <t>KM 50</t>
  </si>
  <si>
    <t>WW39</t>
  </si>
  <si>
    <t>09.21-09.27</t>
  </si>
  <si>
    <t>#KM3564 (2427-1827)</t>
  </si>
  <si>
    <t>RB115/LB150</t>
  </si>
  <si>
    <r>
      <rPr>
        <b/>
        <sz val="11"/>
        <color rgb="FFFF0000"/>
        <rFont val="Arial"/>
        <family val="2"/>
      </rPr>
      <t>R074 to KTM031;</t>
    </r>
    <r>
      <rPr>
        <sz val="11"/>
        <color theme="1"/>
        <rFont val="Arial"/>
        <family val="2"/>
      </rPr>
      <t xml:space="preserve"> PM3 Cooling Plate; PM1 TL #0; KTM031 to R166; Adjusted 10,5mm to IS</t>
    </r>
  </si>
  <si>
    <t>#3566 (1000-000)</t>
  </si>
  <si>
    <t>R166 to KTM027; PM4 Cooling Plate</t>
  </si>
  <si>
    <t>#3564(1827-0)#CHEMTRAIN21#3566(2403-2003)</t>
  </si>
  <si>
    <t>#3568(189-1307)+CHEMTRAIN#22#3568(1307-2425)</t>
  </si>
  <si>
    <t>RG102/RB115/LB150</t>
  </si>
  <si>
    <t>PM5 Emitter Assy.; PM4 IS adj. 2mm to DS</t>
  </si>
  <si>
    <t>#3572(1600-0)</t>
  </si>
  <si>
    <t>38.3</t>
  </si>
  <si>
    <t>R128</t>
  </si>
  <si>
    <t xml:space="preserve">KTM031 to R128; </t>
  </si>
  <si>
    <t>#3572(1270-000)</t>
  </si>
  <si>
    <t>RB115/KK111</t>
  </si>
  <si>
    <t>WW40</t>
  </si>
  <si>
    <t>09.28-10.04</t>
  </si>
  <si>
    <t>#3574(2426-0)</t>
  </si>
  <si>
    <t>KTM031</t>
  </si>
  <si>
    <t>R128 to KTM031</t>
  </si>
  <si>
    <r>
      <t xml:space="preserve">KTM031 to R128; Adj. </t>
    </r>
    <r>
      <rPr>
        <sz val="11"/>
        <rFont val="Arial"/>
        <family val="2"/>
      </rPr>
      <t>PM5: Glass Window</t>
    </r>
  </si>
  <si>
    <t>#3578(1600-1000)#3586(1046-746)#3578(1000-0)#TK3538(750-730)</t>
  </si>
  <si>
    <t>Ulb.42/Tokkin</t>
  </si>
  <si>
    <t>PM4 Cooling Plate; Adj. 3mm depo shield to left</t>
  </si>
  <si>
    <t>#3572(2418-1600) #3566(2003-1000) #TK3548(830-0)</t>
  </si>
  <si>
    <t>PM4 V-spring</t>
  </si>
  <si>
    <t>#3582(1900-100)</t>
  </si>
  <si>
    <t>PM4 V-spring (Left QCM Head)</t>
  </si>
  <si>
    <t>#3570(1423-1223)#3588(608-74)#3570(1223-0) + CHEMTRAIN#23(#1-#8)</t>
  </si>
  <si>
    <t>PM4 emitter assy and Glass window change</t>
  </si>
  <si>
    <t>WW41</t>
  </si>
  <si>
    <t>#3592(1800-0)</t>
  </si>
  <si>
    <t>10.05-10.11</t>
  </si>
  <si>
    <t>#KM3530(1217-0)</t>
  </si>
  <si>
    <t>48.4</t>
  </si>
  <si>
    <t>PM1 Cooling Plate and Target Shields; PM4 Depo Shields;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</si>
</sst>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;@"/>
    <numFmt numFmtId="166" formatCode="0.0"/>
  </numFmts>
  <fonts count="2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charset val="128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Arial"/>
      <family val="2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28"/>
      <scheme val="minor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7"/>
      <name val="Arial"/>
      <family val="2"/>
    </font>
    <font>
      <sz val="11"/>
      <color theme="7"/>
      <name val="Arial"/>
      <family val="2"/>
    </font>
    <font>
      <sz val="11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14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165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0" fontId="12" fillId="0" borderId="24" xfId="0" applyFont="1" applyBorder="1">
      <alignment vertical="center"/>
    </xf>
    <xf numFmtId="0" fontId="12" fillId="0" borderId="25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2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14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166" fontId="12" fillId="0" borderId="18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13" fillId="0" borderId="18" xfId="0" applyNumberFormat="1" applyFont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21" fontId="0" fillId="7" borderId="0" xfId="0" applyNumberFormat="1" applyFill="1">
      <alignment vertical="center"/>
    </xf>
    <xf numFmtId="0" fontId="4" fillId="11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165" fontId="3" fillId="0" borderId="2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0" borderId="23" xfId="0" applyBorder="1">
      <alignment vertical="center"/>
    </xf>
    <xf numFmtId="0" fontId="3" fillId="0" borderId="27" xfId="0" applyFont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165" fontId="3" fillId="0" borderId="2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20" fontId="3" fillId="0" borderId="2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20" fontId="3" fillId="0" borderId="20" xfId="0" applyNumberFormat="1" applyFon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0" fontId="14" fillId="10" borderId="0" xfId="0" applyFont="1" applyFill="1">
      <alignment vertical="center"/>
    </xf>
    <xf numFmtId="0" fontId="3" fillId="11" borderId="3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20" fontId="3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14" fontId="3" fillId="3" borderId="22" xfId="0" applyNumberFormat="1" applyFont="1" applyFill="1" applyBorder="1" applyAlignment="1">
      <alignment horizontal="center" vertical="center"/>
    </xf>
    <xf numFmtId="20" fontId="3" fillId="3" borderId="22" xfId="0" applyNumberFormat="1" applyFont="1" applyFill="1" applyBorder="1" applyAlignment="1">
      <alignment horizontal="center" vertical="center"/>
    </xf>
    <xf numFmtId="165" fontId="3" fillId="3" borderId="22" xfId="0" applyNumberFormat="1" applyFont="1" applyFill="1" applyBorder="1" applyAlignment="1">
      <alignment horizontal="center" vertical="center"/>
    </xf>
    <xf numFmtId="0" fontId="14" fillId="14" borderId="1" xfId="0" applyFont="1" applyFill="1" applyBorder="1">
      <alignment vertical="center"/>
    </xf>
    <xf numFmtId="0" fontId="0" fillId="0" borderId="1" xfId="0" pivotButton="1" applyBorder="1">
      <alignment vertical="center"/>
    </xf>
    <xf numFmtId="0" fontId="14" fillId="16" borderId="1" xfId="0" applyFont="1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14" fillId="15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65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20" fontId="3" fillId="2" borderId="14" xfId="0" applyNumberFormat="1" applyFont="1" applyFill="1" applyBorder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4" fontId="3" fillId="3" borderId="20" xfId="0" applyNumberFormat="1" applyFont="1" applyFill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22" xfId="0" applyBorder="1">
      <alignment vertical="center"/>
    </xf>
    <xf numFmtId="0" fontId="2" fillId="0" borderId="0" xfId="0" applyFont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 wrapText="1"/>
    </xf>
    <xf numFmtId="165" fontId="4" fillId="8" borderId="3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1" fillId="6" borderId="1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76"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ont>
        <sz val="11"/>
      </font>
    </dxf>
    <dxf>
      <fill>
        <patternFill patternType="none">
          <fgColor indexed="64"/>
          <bgColor indexed="65"/>
        </patternFill>
      </fill>
    </dxf>
    <dxf>
      <font>
        <b/>
      </font>
    </dxf>
    <dxf>
      <font>
        <b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fill>
        <patternFill>
          <bgColor theme="7"/>
        </patternFill>
      </fill>
    </dxf>
    <dxf>
      <font>
        <b/>
      </font>
    </dxf>
    <dxf>
      <fill>
        <patternFill patternType="solid">
          <bgColor theme="8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sz val="11"/>
      </font>
    </dxf>
    <dxf>
      <border>
        <bottom/>
      </border>
    </dxf>
    <dxf>
      <border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fill>
        <patternFill patternType="solid">
          <bgColor theme="5" tint="0.59999389629810485"/>
        </patternFill>
      </fill>
    </dxf>
    <dxf>
      <font>
        <b/>
      </font>
    </dxf>
    <dxf>
      <fill>
        <patternFill patternType="solid">
          <bgColor theme="8"/>
        </patternFill>
      </fill>
    </dxf>
    <dxf>
      <alignment horizontal="left"/>
    </dxf>
    <dxf>
      <alignment horizontal="general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ont>
        <sz val="11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font>
        <b/>
      </font>
    </dxf>
    <dxf>
      <font>
        <b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/>
        </patternFill>
      </fill>
    </dxf>
    <dxf>
      <font>
        <b/>
      </font>
    </dxf>
    <dxf>
      <fill>
        <patternFill>
          <bgColor theme="7"/>
        </patternFill>
      </fill>
    </dxf>
    <dxf>
      <font>
        <b/>
      </font>
    </dxf>
    <dxf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Tape Deposited in IBAD per Week (m)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461441364516139"/>
          <c:y val="7.0084346480331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723599235410248E-2"/>
          <c:y val="0.17927771215251012"/>
          <c:w val="0.88590936622432681"/>
          <c:h val="0.6044947591052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Tape Length per Workweek'!$C$9</c:f>
              <c:strCache>
                <c:ptCount val="1"/>
                <c:pt idx="0">
                  <c:v>Actual Deposited Tape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4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833-46DA-BA7A-8F39A1A0516D}"/>
              </c:ext>
            </c:extLst>
          </c:dPt>
          <c:dLbls>
            <c:dLbl>
              <c:idx val="12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946724496410284E-2"/>
                      <c:h val="2.59183318086053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015-4A92-83A8-0C34BE61000F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Tape Length per Workweek'!$D$8:$AC$8</c:f>
              <c:strCache>
                <c:ptCount val="26"/>
                <c:pt idx="0">
                  <c:v>WW10</c:v>
                </c:pt>
                <c:pt idx="1">
                  <c:v>WW11</c:v>
                </c:pt>
                <c:pt idx="2">
                  <c:v>WW12</c:v>
                </c:pt>
                <c:pt idx="3">
                  <c:v>WW13</c:v>
                </c:pt>
                <c:pt idx="4">
                  <c:v>WW14</c:v>
                </c:pt>
                <c:pt idx="5">
                  <c:v>WW15</c:v>
                </c:pt>
                <c:pt idx="6">
                  <c:v>WW16</c:v>
                </c:pt>
                <c:pt idx="7">
                  <c:v>WW17</c:v>
                </c:pt>
                <c:pt idx="8">
                  <c:v>WW18</c:v>
                </c:pt>
                <c:pt idx="9">
                  <c:v>WW19</c:v>
                </c:pt>
                <c:pt idx="10">
                  <c:v>WW20</c:v>
                </c:pt>
                <c:pt idx="11">
                  <c:v>WW21</c:v>
                </c:pt>
                <c:pt idx="12">
                  <c:v>WW22</c:v>
                </c:pt>
                <c:pt idx="13">
                  <c:v>WW23</c:v>
                </c:pt>
                <c:pt idx="14">
                  <c:v>WW24</c:v>
                </c:pt>
                <c:pt idx="15">
                  <c:v>WW25</c:v>
                </c:pt>
                <c:pt idx="16">
                  <c:v>WW26</c:v>
                </c:pt>
                <c:pt idx="17">
                  <c:v>WW27</c:v>
                </c:pt>
                <c:pt idx="18">
                  <c:v>WW28</c:v>
                </c:pt>
                <c:pt idx="19">
                  <c:v>WW29</c:v>
                </c:pt>
                <c:pt idx="20">
                  <c:v>WW30</c:v>
                </c:pt>
                <c:pt idx="21">
                  <c:v>WW31</c:v>
                </c:pt>
                <c:pt idx="22">
                  <c:v>WW32</c:v>
                </c:pt>
                <c:pt idx="23">
                  <c:v>WW33</c:v>
                </c:pt>
                <c:pt idx="24">
                  <c:v>WW34</c:v>
                </c:pt>
                <c:pt idx="25">
                  <c:v>WW35</c:v>
                </c:pt>
              </c:strCache>
            </c:strRef>
          </c:cat>
          <c:val>
            <c:numRef>
              <c:f>'Total Tape Length per Workweek'!$D$9:$AC$9</c:f>
              <c:numCache>
                <c:formatCode>General</c:formatCode>
                <c:ptCount val="26"/>
                <c:pt idx="0">
                  <c:v>15415</c:v>
                </c:pt>
                <c:pt idx="1">
                  <c:v>9873</c:v>
                </c:pt>
                <c:pt idx="2">
                  <c:v>10883</c:v>
                </c:pt>
                <c:pt idx="3">
                  <c:v>13258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3-46DA-BA7A-8F39A1A05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274096"/>
        <c:axId val="359271696"/>
      </c:barChart>
      <c:lineChart>
        <c:grouping val="standard"/>
        <c:varyColors val="0"/>
        <c:ser>
          <c:idx val="1"/>
          <c:order val="1"/>
          <c:tx>
            <c:strRef>
              <c:f>'Total Tape Length per Workweek'!$C$10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Tape Length per Workweek'!$D$8:$AC$8</c:f>
              <c:strCache>
                <c:ptCount val="26"/>
                <c:pt idx="0">
                  <c:v>WW10</c:v>
                </c:pt>
                <c:pt idx="1">
                  <c:v>WW11</c:v>
                </c:pt>
                <c:pt idx="2">
                  <c:v>WW12</c:v>
                </c:pt>
                <c:pt idx="3">
                  <c:v>WW13</c:v>
                </c:pt>
                <c:pt idx="4">
                  <c:v>WW14</c:v>
                </c:pt>
                <c:pt idx="5">
                  <c:v>WW15</c:v>
                </c:pt>
                <c:pt idx="6">
                  <c:v>WW16</c:v>
                </c:pt>
                <c:pt idx="7">
                  <c:v>WW17</c:v>
                </c:pt>
                <c:pt idx="8">
                  <c:v>WW18</c:v>
                </c:pt>
                <c:pt idx="9">
                  <c:v>WW19</c:v>
                </c:pt>
                <c:pt idx="10">
                  <c:v>WW20</c:v>
                </c:pt>
                <c:pt idx="11">
                  <c:v>WW21</c:v>
                </c:pt>
                <c:pt idx="12">
                  <c:v>WW22</c:v>
                </c:pt>
                <c:pt idx="13">
                  <c:v>WW23</c:v>
                </c:pt>
                <c:pt idx="14">
                  <c:v>WW24</c:v>
                </c:pt>
                <c:pt idx="15">
                  <c:v>WW25</c:v>
                </c:pt>
                <c:pt idx="16">
                  <c:v>WW26</c:v>
                </c:pt>
                <c:pt idx="17">
                  <c:v>WW27</c:v>
                </c:pt>
                <c:pt idx="18">
                  <c:v>WW28</c:v>
                </c:pt>
                <c:pt idx="19">
                  <c:v>WW29</c:v>
                </c:pt>
                <c:pt idx="20">
                  <c:v>WW30</c:v>
                </c:pt>
                <c:pt idx="21">
                  <c:v>WW31</c:v>
                </c:pt>
                <c:pt idx="22">
                  <c:v>WW32</c:v>
                </c:pt>
                <c:pt idx="23">
                  <c:v>WW33</c:v>
                </c:pt>
                <c:pt idx="24">
                  <c:v>WW34</c:v>
                </c:pt>
                <c:pt idx="25">
                  <c:v>WW35</c:v>
                </c:pt>
              </c:strCache>
            </c:strRef>
          </c:cat>
          <c:val>
            <c:numRef>
              <c:f>'Total Tape Length per Workweek'!$D$10:$AC$10</c:f>
              <c:numCache>
                <c:formatCode>General</c:formatCode>
                <c:ptCount val="26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3-46DA-BA7A-8F39A1A05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74096"/>
        <c:axId val="359271696"/>
      </c:lineChart>
      <c:catAx>
        <c:axId val="35927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71696"/>
        <c:crosses val="autoZero"/>
        <c:auto val="1"/>
        <c:lblAlgn val="ctr"/>
        <c:lblOffset val="100"/>
        <c:noMultiLvlLbl val="0"/>
      </c:catAx>
      <c:valAx>
        <c:axId val="3592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4167143770856"/>
          <c:y val="0.90597917195834399"/>
          <c:w val="0.29555761430600425"/>
          <c:h val="5.32213864151233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14</xdr:row>
      <xdr:rowOff>126999</xdr:rowOff>
    </xdr:from>
    <xdr:to>
      <xdr:col>24</xdr:col>
      <xdr:colOff>133350</xdr:colOff>
      <xdr:row>40</xdr:row>
      <xdr:rowOff>85725</xdr:rowOff>
    </xdr:to>
    <xdr:graphicFrame macro="">
      <xdr:nvGraphicFramePr>
        <xdr:cNvPr id="2" name="Chart 1" descr="Chart type: Line. 'Actual Deposited Tape', 'Target' by 'Field1'&#10;&#10;Description automatically generated">
          <a:extLst>
            <a:ext uri="{FF2B5EF4-FFF2-40B4-BE49-F238E27FC236}">
              <a16:creationId xmlns:a16="http://schemas.microsoft.com/office/drawing/2014/main" id="{AF25830A-9774-CD13-A31F-FEC2B2AE0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0.94592</cdr:x>
      <cdr:y>0.04348</cdr:y>
    </cdr:from>
    <cdr:to>
      <cdr:x>0.97984</cdr:x>
      <cdr:y>0.10448</cdr:y>
    </cdr:to>
    <cdr:sp macro="" textlink="">
      <cdr:nvSpPr>
        <cdr:cNvPr id="2" name="Flowchart: Connector 1">
          <a:extLst xmlns:a="http://schemas.openxmlformats.org/drawingml/2006/main">
            <a:ext uri="{FF2B5EF4-FFF2-40B4-BE49-F238E27FC236}">
              <a16:creationId xmlns:a16="http://schemas.microsoft.com/office/drawing/2014/main" id="{760F1F8D-1280-2929-CF87-0AC2BF9540D5}"/>
            </a:ext>
          </a:extLst>
        </cdr:cNvPr>
        <cdr:cNvSpPr/>
      </cdr:nvSpPr>
      <cdr:spPr>
        <a:xfrm xmlns:a="http://schemas.openxmlformats.org/drawingml/2006/main">
          <a:off x="9385300" y="212725"/>
          <a:ext cx="336550" cy="298451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00B05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kumimoji="1"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412750</xdr:colOff>
      <xdr:row>5</xdr:row>
      <xdr:rowOff>21292</xdr:rowOff>
    </xdr:from>
    <xdr:to>
      <xdr:col>7</xdr:col>
      <xdr:colOff>488950</xdr:colOff>
      <xdr:row>7</xdr:row>
      <xdr:rowOff>218142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AC778E0F-FD65-FCB2-51D3-F57F104AFD7B}"/>
            </a:ext>
          </a:extLst>
        </xdr:cNvPr>
        <xdr:cNvSpPr/>
      </xdr:nvSpPr>
      <xdr:spPr>
        <a:xfrm>
          <a:off x="1070162" y="1179233"/>
          <a:ext cx="733612" cy="660027"/>
        </a:xfrm>
        <a:prstGeom prst="flowChartConnector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122144</xdr:colOff>
      <xdr:row>7</xdr:row>
      <xdr:rowOff>187512</xdr:rowOff>
    </xdr:from>
    <xdr:to>
      <xdr:col>13</xdr:col>
      <xdr:colOff>552450</xdr:colOff>
      <xdr:row>8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6128EE4-CB51-10A6-B558-60E9C9052426}"/>
            </a:ext>
          </a:extLst>
        </xdr:cNvPr>
        <xdr:cNvCxnSpPr/>
      </xdr:nvCxnSpPr>
      <xdr:spPr>
        <a:xfrm>
          <a:off x="4246469" y="1521012"/>
          <a:ext cx="7516906" cy="298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1075765</xdr:colOff>
      <xdr:row>7</xdr:row>
      <xdr:rowOff>112060</xdr:rowOff>
    </xdr:from>
    <xdr:to>
      <xdr:col>7</xdr:col>
      <xdr:colOff>1075765</xdr:colOff>
      <xdr:row>8</xdr:row>
      <xdr:rowOff>164354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ECFFF55-A131-AA20-FEFE-ABF39D2C0C4A}"/>
            </a:ext>
          </a:extLst>
        </xdr:cNvPr>
        <xdr:cNvCxnSpPr/>
      </xdr:nvCxnSpPr>
      <xdr:spPr>
        <a:xfrm>
          <a:off x="2390589" y="1733178"/>
          <a:ext cx="0" cy="2838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301812</xdr:colOff>
      <xdr:row>7</xdr:row>
      <xdr:rowOff>92635</xdr:rowOff>
    </xdr:from>
    <xdr:to>
      <xdr:col>10</xdr:col>
      <xdr:colOff>301812</xdr:colOff>
      <xdr:row>8</xdr:row>
      <xdr:rowOff>144929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FA9B79D-BC5B-4CCA-A443-C57914367428}"/>
            </a:ext>
          </a:extLst>
        </xdr:cNvPr>
        <xdr:cNvCxnSpPr/>
      </xdr:nvCxnSpPr>
      <xdr:spPr>
        <a:xfrm>
          <a:off x="7705165" y="1713753"/>
          <a:ext cx="0" cy="2838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289860</xdr:colOff>
      <xdr:row>7</xdr:row>
      <xdr:rowOff>103096</xdr:rowOff>
    </xdr:from>
    <xdr:to>
      <xdr:col>8</xdr:col>
      <xdr:colOff>289860</xdr:colOff>
      <xdr:row>8</xdr:row>
      <xdr:rowOff>155390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A615D3F-8C23-4307-BA41-2FC92F980229}"/>
            </a:ext>
          </a:extLst>
        </xdr:cNvPr>
        <xdr:cNvCxnSpPr/>
      </xdr:nvCxnSpPr>
      <xdr:spPr>
        <a:xfrm>
          <a:off x="6378389" y="1724214"/>
          <a:ext cx="0" cy="2838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3430495</xdr:colOff>
      <xdr:row>7</xdr:row>
      <xdr:rowOff>91140</xdr:rowOff>
    </xdr:from>
    <xdr:to>
      <xdr:col>7</xdr:col>
      <xdr:colOff>3430495</xdr:colOff>
      <xdr:row>8</xdr:row>
      <xdr:rowOff>143434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A932816-D31B-4A7F-895D-174DAF547208}"/>
            </a:ext>
          </a:extLst>
        </xdr:cNvPr>
        <xdr:cNvCxnSpPr/>
      </xdr:nvCxnSpPr>
      <xdr:spPr>
        <a:xfrm>
          <a:off x="4745319" y="1712258"/>
          <a:ext cx="0" cy="2838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2223247</xdr:colOff>
      <xdr:row>7</xdr:row>
      <xdr:rowOff>79188</xdr:rowOff>
    </xdr:from>
    <xdr:to>
      <xdr:col>7</xdr:col>
      <xdr:colOff>2223247</xdr:colOff>
      <xdr:row>8</xdr:row>
      <xdr:rowOff>131482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E35D24B-D6A7-42D8-8629-31A52CF65911}"/>
            </a:ext>
          </a:extLst>
        </xdr:cNvPr>
        <xdr:cNvCxnSpPr/>
      </xdr:nvCxnSpPr>
      <xdr:spPr>
        <a:xfrm>
          <a:off x="3538071" y="1700306"/>
          <a:ext cx="0" cy="2838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3914589</xdr:colOff>
      <xdr:row>8</xdr:row>
      <xdr:rowOff>59764</xdr:rowOff>
    </xdr:from>
    <xdr:to>
      <xdr:col>7</xdr:col>
      <xdr:colOff>4557059</xdr:colOff>
      <xdr:row>9</xdr:row>
      <xdr:rowOff>82177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A71DCDB-D269-0429-8707-7077B80BED67}"/>
            </a:ext>
          </a:extLst>
        </xdr:cNvPr>
        <xdr:cNvSpPr/>
      </xdr:nvSpPr>
      <xdr:spPr>
        <a:xfrm>
          <a:off x="5229413" y="1912470"/>
          <a:ext cx="642470" cy="2540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PH" altLang="ja-JP" sz="1100">
              <a:solidFill>
                <a:schemeClr val="tx1"/>
              </a:solidFill>
            </a:rPr>
            <a:t>1748m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32872</xdr:colOff>
      <xdr:row>9</xdr:row>
      <xdr:rowOff>115045</xdr:rowOff>
    </xdr:from>
    <xdr:to>
      <xdr:col>9</xdr:col>
      <xdr:colOff>17930</xdr:colOff>
      <xdr:row>10</xdr:row>
      <xdr:rowOff>137458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430C017-9F68-4B9E-B85B-6CED09269A5E}"/>
            </a:ext>
          </a:extLst>
        </xdr:cNvPr>
        <xdr:cNvSpPr/>
      </xdr:nvSpPr>
      <xdr:spPr>
        <a:xfrm>
          <a:off x="6121401" y="2199339"/>
          <a:ext cx="642470" cy="2540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PH" altLang="ja-JP" sz="1100">
              <a:solidFill>
                <a:schemeClr val="tx1"/>
              </a:solidFill>
            </a:rPr>
            <a:t>1748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3307977</xdr:colOff>
      <xdr:row>9</xdr:row>
      <xdr:rowOff>118035</xdr:rowOff>
    </xdr:from>
    <xdr:to>
      <xdr:col>7</xdr:col>
      <xdr:colOff>3950447</xdr:colOff>
      <xdr:row>10</xdr:row>
      <xdr:rowOff>140448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C5316E7-8B35-4352-8BD2-B6F3B232DD5D}"/>
            </a:ext>
          </a:extLst>
        </xdr:cNvPr>
        <xdr:cNvSpPr/>
      </xdr:nvSpPr>
      <xdr:spPr>
        <a:xfrm>
          <a:off x="4622801" y="2202329"/>
          <a:ext cx="642470" cy="2540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PH" altLang="ja-JP" sz="1100">
              <a:solidFill>
                <a:schemeClr val="tx1"/>
              </a:solidFill>
            </a:rPr>
            <a:t>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33132</xdr:colOff>
      <xdr:row>0</xdr:row>
      <xdr:rowOff>0</xdr:rowOff>
    </xdr:from>
    <xdr:to>
      <xdr:col>15</xdr:col>
      <xdr:colOff>207065</xdr:colOff>
      <xdr:row>54</xdr:row>
      <xdr:rowOff>92126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D33DD4-7F88-3F47-F68B-5A6A8B3DA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045" y="0"/>
          <a:ext cx="8754716" cy="103791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14</xdr:col>
      <xdr:colOff>171450</xdr:colOff>
      <xdr:row>3</xdr:row>
      <xdr:rowOff>152400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75887F5-5A64-2180-7ECA-A3888FDE118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819150"/>
          <a:ext cx="1714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171450</xdr:colOff>
      <xdr:row>6</xdr:row>
      <xdr:rowOff>152400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7BD8787F-1AAA-CCBA-DA14-6330B0752BB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419225"/>
          <a:ext cx="1714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161925</xdr:colOff>
      <xdr:row>9</xdr:row>
      <xdr:rowOff>152400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92AC57F-EC04-72A0-6473-0235E223AB6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419350"/>
          <a:ext cx="1619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161925</xdr:colOff>
      <xdr:row>12</xdr:row>
      <xdr:rowOff>152400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5EF3B9A6-B33C-2033-DC9C-3E1970680E8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219450"/>
          <a:ext cx="1619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171450</xdr:colOff>
      <xdr:row>15</xdr:row>
      <xdr:rowOff>152400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A323F56A-9245-A27F-AB1C-E9EFA58D5D9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790950"/>
          <a:ext cx="1714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249153</xdr:colOff>
      <xdr:row>2</xdr:row>
      <xdr:rowOff>282241</xdr:rowOff>
    </xdr:from>
    <xdr:to>
      <xdr:col>12</xdr:col>
      <xdr:colOff>468228</xdr:colOff>
      <xdr:row>3</xdr:row>
      <xdr:rowOff>120316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760F1F8D-1280-2929-CF87-0AC2BF9540D5}"/>
            </a:ext>
          </a:extLst>
        </xdr:cNvPr>
        <xdr:cNvSpPr/>
      </xdr:nvSpPr>
      <xdr:spPr>
        <a:xfrm>
          <a:off x="4490285" y="683294"/>
          <a:ext cx="219075" cy="259180"/>
        </a:xfrm>
        <a:prstGeom prst="flowChartConnec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sz="1100"/>
        </a:p>
      </xdr:txBody>
    </xdr:sp>
    <xdr:clientData/>
  </xdr:twoCellAnchor>
  <xdr:oneCellAnchor>
    <xdr:from>
      <xdr:col>14</xdr:col>
      <xdr:colOff>0</xdr:colOff>
      <xdr:row>6</xdr:row>
      <xdr:rowOff>0</xdr:rowOff>
    </xdr:from>
    <xdr:ext cx="161925" cy="1524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A440D84C-20CC-4A34-9226-03AAE64149AB}"/>
            </a:ext>
          </a:extLst>
        </xdr:cNvPr>
        <xdr:cNvSpPr>
          <a:spLocks noChangeAspect="1" noChangeArrowheads="1"/>
        </xdr:cNvSpPr>
      </xdr:nvSpPr>
      <xdr:spPr bwMode="auto">
        <a:xfrm>
          <a:off x="5444289" y="2426368"/>
          <a:ext cx="1619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55.599933217592" createdVersion="8" refreshedVersion="8" minRefreshableVersion="3" recordCount="170" xr:uid="{9E1939B6-0332-47B2-8434-AAAFA6A61B61}">
  <cacheSource type="worksheet">
    <worksheetSource ref="A1:F171" sheet="COUNTS"/>
  </cacheSource>
  <cacheFields count="6">
    <cacheField name="Workweek" numFmtId="0">
      <sharedItems containsBlank="1" count="20">
        <s v="WW02"/>
        <s v="WW03"/>
        <s v="WW04"/>
        <s v="WW05"/>
        <s v="WW06"/>
        <s v="WW07"/>
        <s v="WW08"/>
        <s v="WW09"/>
        <s v="WW10"/>
        <s v="WW11"/>
        <s v="WW12"/>
        <s v="WW13"/>
        <s v="WW14"/>
        <s v="WW15"/>
        <s v="WW16"/>
        <s v="WW17"/>
        <s v="WW18"/>
        <s v="WW19"/>
        <s v="WW20"/>
        <m/>
      </sharedItems>
    </cacheField>
    <cacheField name="Tape Number" numFmtId="0">
      <sharedItems containsBlank="1"/>
    </cacheField>
    <cacheField name="ION Source  OFF" numFmtId="0">
      <sharedItems containsString="0" containsBlank="1" containsNumber="1" containsInteger="1" minValue="0" maxValue="3" count="5">
        <n v="0"/>
        <n v="2"/>
        <n v="1"/>
        <n v="3"/>
        <m/>
      </sharedItems>
    </cacheField>
    <cacheField name="E-Gun 1 OFF Occurrence" numFmtId="0">
      <sharedItems containsString="0" containsBlank="1" containsNumber="1" containsInteger="1" minValue="0" maxValue="6" count="7">
        <n v="1"/>
        <n v="0"/>
        <n v="2"/>
        <n v="5"/>
        <n v="3"/>
        <n v="6"/>
        <m/>
      </sharedItems>
    </cacheField>
    <cacheField name="E-Gun 2  OFF Occurrence" numFmtId="0">
      <sharedItems containsString="0" containsBlank="1" containsNumber="1" containsInteger="1" minValue="0" maxValue="1" count="3">
        <n v="0"/>
        <n v="1"/>
        <m/>
      </sharedItems>
    </cacheField>
    <cacheField name="Grid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s v="#2900(1662-0)"/>
    <x v="0"/>
    <x v="0"/>
    <x v="0"/>
    <s v="KTM023"/>
  </r>
  <r>
    <x v="0"/>
    <s v="#2902(1665-0)"/>
    <x v="0"/>
    <x v="1"/>
    <x v="0"/>
    <s v="KTM027"/>
  </r>
  <r>
    <x v="0"/>
    <s v="#2902(1665-0)"/>
    <x v="0"/>
    <x v="1"/>
    <x v="0"/>
    <s v="KTM027"/>
  </r>
  <r>
    <x v="0"/>
    <s v="#2904(1662-0)"/>
    <x v="0"/>
    <x v="1"/>
    <x v="0"/>
    <s v="KTM027"/>
  </r>
  <r>
    <x v="0"/>
    <s v="#2906(1536-0) #2880(1691-1534)"/>
    <x v="0"/>
    <x v="1"/>
    <x v="0"/>
    <s v="KTM027"/>
  </r>
  <r>
    <x v="0"/>
    <s v="#2898(985-1427) "/>
    <x v="0"/>
    <x v="1"/>
    <x v="0"/>
    <s v="KTM027"/>
  </r>
  <r>
    <x v="0"/>
    <s v="#2898(339-985) #2892(1385-0)"/>
    <x v="0"/>
    <x v="1"/>
    <x v="0"/>
    <s v="KTM027"/>
  </r>
  <r>
    <x v="0"/>
    <s v="#2912(1620-0)"/>
    <x v="0"/>
    <x v="1"/>
    <x v="0"/>
    <s v="KTM027"/>
  </r>
  <r>
    <x v="0"/>
    <s v="#2914(1656-0)"/>
    <x v="0"/>
    <x v="2"/>
    <x v="0"/>
    <s v="KTM027"/>
  </r>
  <r>
    <x v="0"/>
    <s v="#2910(570-0) #2910(1076-570) #2908(825-0)"/>
    <x v="0"/>
    <x v="1"/>
    <x v="0"/>
    <s v="KTM027"/>
  </r>
  <r>
    <x v="1"/>
    <s v="#2918(1389-0)#2920(1356-0)"/>
    <x v="0"/>
    <x v="0"/>
    <x v="0"/>
    <s v="KTM027"/>
  </r>
  <r>
    <x v="1"/>
    <s v="#2922(1403-0) #2916(1397-700)"/>
    <x v="0"/>
    <x v="2"/>
    <x v="1"/>
    <s v="KTM027"/>
  </r>
  <r>
    <x v="1"/>
    <s v="#2898(339-0)#2926(1661-926)#2926(705-0)"/>
    <x v="0"/>
    <x v="1"/>
    <x v="0"/>
    <s v="KTM027"/>
  </r>
  <r>
    <x v="1"/>
    <s v="#2930(1500-0)"/>
    <x v="0"/>
    <x v="1"/>
    <x v="0"/>
    <s v="KTM027"/>
  </r>
  <r>
    <x v="1"/>
    <s v="#EXP1-20"/>
    <x v="0"/>
    <x v="1"/>
    <x v="0"/>
    <s v="KTM027"/>
  </r>
  <r>
    <x v="1"/>
    <s v="#2940(1453-0)"/>
    <x v="0"/>
    <x v="0"/>
    <x v="0"/>
    <s v="KTM023"/>
  </r>
  <r>
    <x v="1"/>
    <s v="#2932(1500-0)"/>
    <x v="0"/>
    <x v="1"/>
    <x v="0"/>
    <s v="KTM023"/>
  </r>
  <r>
    <x v="1"/>
    <s v="#2954(1398-0)"/>
    <x v="0"/>
    <x v="0"/>
    <x v="0"/>
    <s v="KTM023"/>
  </r>
  <r>
    <x v="1"/>
    <s v="#2952(1394-0)#2916(690-0)"/>
    <x v="0"/>
    <x v="1"/>
    <x v="0"/>
    <s v="KTM023"/>
  </r>
  <r>
    <x v="2"/>
    <s v="#2898(1662-1427) #2910(1364-1101)"/>
    <x v="0"/>
    <x v="1"/>
    <x v="0"/>
    <s v="KTM023"/>
  </r>
  <r>
    <x v="2"/>
    <s v="#2950(1684-898) #2950(896-0)"/>
    <x v="0"/>
    <x v="0"/>
    <x v="0"/>
    <s v="KTM023"/>
  </r>
  <r>
    <x v="2"/>
    <s v="#2942(1633-1427) #29542(1427-16)"/>
    <x v="0"/>
    <x v="1"/>
    <x v="1"/>
    <s v="KTM023"/>
  </r>
  <r>
    <x v="2"/>
    <s v="#2946(339-0)#2944(1328-4)+50mDMY"/>
    <x v="0"/>
    <x v="0"/>
    <x v="0"/>
    <s v="KTM023"/>
  </r>
  <r>
    <x v="2"/>
    <s v="#2948(1656-906)#2956(1398-0)"/>
    <x v="0"/>
    <x v="3"/>
    <x v="0"/>
    <s v="KTM023"/>
  </r>
  <r>
    <x v="2"/>
    <s v="#2868 (000-195)#2944 (1659-1328)#2946 (339-1665) RnD"/>
    <x v="0"/>
    <x v="0"/>
    <x v="0"/>
    <s v="KTM023"/>
  </r>
  <r>
    <x v="2"/>
    <s v="#2928(1666-844) #2960(1395-0)"/>
    <x v="0"/>
    <x v="0"/>
    <x v="0"/>
    <s v="KTM023"/>
  </r>
  <r>
    <x v="2"/>
    <s v="#2958(1531-355) #2958(350-000)"/>
    <x v="0"/>
    <x v="1"/>
    <x v="0"/>
    <s v="KTM023"/>
  </r>
  <r>
    <x v="3"/>
    <s v="#2970(962-697)#2964(1397-0)"/>
    <x v="0"/>
    <x v="1"/>
    <x v="0"/>
    <s v="KTM023"/>
  </r>
  <r>
    <x v="3"/>
    <s v="#2970(680-0)#2968(848-0)"/>
    <x v="0"/>
    <x v="1"/>
    <x v="0"/>
    <s v="KTM023"/>
  </r>
  <r>
    <x v="3"/>
    <s v="#2920(1556-1656)#2978(1100-1224) YB production"/>
    <x v="0"/>
    <x v="1"/>
    <x v="0"/>
    <s v="KTM023"/>
  </r>
  <r>
    <x v="3"/>
    <s v="#2978(500-0)#2986(1396-0)"/>
    <x v="0"/>
    <x v="1"/>
    <x v="0"/>
    <s v="R009"/>
  </r>
  <r>
    <x v="3"/>
    <s v="#2986(1396-0) #2978(500-0)"/>
    <x v="0"/>
    <x v="1"/>
    <x v="0"/>
    <s v="R009"/>
  </r>
  <r>
    <x v="3"/>
    <s v="#2976(896-0) #2966(1394-0)"/>
    <x v="0"/>
    <x v="1"/>
    <x v="0"/>
    <s v="KTM027"/>
  </r>
  <r>
    <x v="3"/>
    <s v="#2978(500-1100)#2988(1396-0)"/>
    <x v="0"/>
    <x v="1"/>
    <x v="0"/>
    <s v="KTM027"/>
  </r>
  <r>
    <x v="3"/>
    <s v="RnD"/>
    <x v="0"/>
    <x v="1"/>
    <x v="0"/>
    <s v="KTM027"/>
  </r>
  <r>
    <x v="4"/>
    <s v="#3004(1361-000) #2962(670-000)"/>
    <x v="0"/>
    <x v="2"/>
    <x v="0"/>
    <s v="KTM027"/>
  </r>
  <r>
    <x v="4"/>
    <s v="#3000(19-359) #3000(483-1058) #2982(1365-0)"/>
    <x v="0"/>
    <x v="1"/>
    <x v="0"/>
    <s v="KTM027"/>
  </r>
  <r>
    <x v="4"/>
    <s v="#3010(1-336)#3010(336-631)"/>
    <x v="0"/>
    <x v="1"/>
    <x v="0"/>
    <s v="KTM027"/>
  </r>
  <r>
    <x v="4"/>
    <s v="#3012(1098-0)#3014(1380-0)"/>
    <x v="1"/>
    <x v="1"/>
    <x v="0"/>
    <s v="KTM027"/>
  </r>
  <r>
    <x v="4"/>
    <s v="#3020(1373-0)#3018(1349-766)"/>
    <x v="0"/>
    <x v="1"/>
    <x v="0"/>
    <s v="KTM027"/>
  </r>
  <r>
    <x v="4"/>
    <s v="#3020(1373-0)#3018(766-131)"/>
    <x v="0"/>
    <x v="1"/>
    <x v="0"/>
    <s v="KTM027"/>
  </r>
  <r>
    <x v="5"/>
    <s v="#2994(1274-96)#3016(1000-0)"/>
    <x v="0"/>
    <x v="0"/>
    <x v="1"/>
    <s v="KTM027"/>
  </r>
  <r>
    <x v="5"/>
    <s v="#2984(291-1116)#3022(52-1380)"/>
    <x v="0"/>
    <x v="2"/>
    <x v="0"/>
    <s v="KTM027"/>
  </r>
  <r>
    <x v="5"/>
    <s v="#2980(0-1366) #3002(875-0)"/>
    <x v="0"/>
    <x v="1"/>
    <x v="0"/>
    <s v="KTM027"/>
  </r>
  <r>
    <x v="5"/>
    <s v="#3008(1395-95) #3006(922-22)"/>
    <x v="0"/>
    <x v="0"/>
    <x v="0"/>
    <s v="KTM027"/>
  </r>
  <r>
    <x v="5"/>
    <s v="#2992(900-0) #2990(1350-250)"/>
    <x v="0"/>
    <x v="1"/>
    <x v="0"/>
    <s v="KTM027"/>
  </r>
  <r>
    <x v="5"/>
    <s v="#2996(1100-0) #2924(300-0) #2924(600-300)"/>
    <x v="0"/>
    <x v="1"/>
    <x v="0"/>
    <s v="KTM027"/>
  </r>
  <r>
    <x v="5"/>
    <s v="#3024(1381-57)"/>
    <x v="0"/>
    <x v="1"/>
    <x v="0"/>
    <s v="KTM027"/>
  </r>
  <r>
    <x v="5"/>
    <s v="#3032(1200-0) #2998(624-280)"/>
    <x v="0"/>
    <x v="1"/>
    <x v="0"/>
    <s v="KTM027"/>
  </r>
  <r>
    <x v="5"/>
    <s v="#3036(1200-0)#3024(486-57)"/>
    <x v="0"/>
    <x v="1"/>
    <x v="0"/>
    <s v="KTM027"/>
  </r>
  <r>
    <x v="6"/>
    <s v="#3040(1199-0)+YB#2998(250-0)"/>
    <x v="0"/>
    <x v="1"/>
    <x v="0"/>
    <s v="KTM027"/>
  </r>
  <r>
    <x v="6"/>
    <s v="#3034(1200-0) #3044(468-149) #3042(570-246)"/>
    <x v="0"/>
    <x v="1"/>
    <x v="0"/>
    <s v="KTM023"/>
  </r>
  <r>
    <x v="6"/>
    <s v="#3034(1200-0)#3042(570-288)"/>
    <x v="0"/>
    <x v="1"/>
    <x v="0"/>
    <s v="KTM023"/>
  </r>
  <r>
    <x v="6"/>
    <s v="#3030(1199-0)#3028(1198-0)"/>
    <x v="0"/>
    <x v="2"/>
    <x v="0"/>
    <s v="KTM023"/>
  </r>
  <r>
    <x v="6"/>
    <s v="#3026(1201-0) #KM3038(320-22) #3026(1201-0)"/>
    <x v="0"/>
    <x v="2"/>
    <x v="0"/>
    <s v="KTM023"/>
  </r>
  <r>
    <x v="6"/>
    <s v="#3048(2010-0)"/>
    <x v="0"/>
    <x v="1"/>
    <x v="0"/>
    <s v="KTM023"/>
  </r>
  <r>
    <x v="6"/>
    <s v="#3050(2013-0)"/>
    <x v="0"/>
    <x v="2"/>
    <x v="0"/>
    <s v="KTM023"/>
  </r>
  <r>
    <x v="6"/>
    <s v="#3052(1894-0) #2990(250-0)"/>
    <x v="0"/>
    <x v="0"/>
    <x v="0"/>
    <s v="KTM023"/>
  </r>
  <r>
    <x v="6"/>
    <s v="#3056(1904-0) #3030 (182-0)"/>
    <x v="0"/>
    <x v="0"/>
    <x v="0"/>
    <s v="KTM027"/>
  </r>
  <r>
    <x v="6"/>
    <s v="#3054(1212-0)#3058(783-2)#3042(235-37)#3044(139-0)"/>
    <x v="0"/>
    <x v="0"/>
    <x v="0"/>
    <s v="KTM027"/>
  </r>
  <r>
    <x v="7"/>
    <s v="#3054(1500-1212) #3066(1896-0)"/>
    <x v="0"/>
    <x v="0"/>
    <x v="0"/>
    <s v="KTM027"/>
  </r>
  <r>
    <x v="7"/>
    <s v="#3060(1912-0)"/>
    <x v="0"/>
    <x v="0"/>
    <x v="0"/>
    <s v="KTM027"/>
  </r>
  <r>
    <x v="7"/>
    <s v="#3064(1912-620) RnD#3064(620-0)"/>
    <x v="0"/>
    <x v="1"/>
    <x v="0"/>
    <s v="KTM027"/>
  </r>
  <r>
    <x v="7"/>
    <s v="#3062(1898-2)#3058(1893-1667)"/>
    <x v="0"/>
    <x v="1"/>
    <x v="0"/>
    <s v="KTM027"/>
  </r>
  <r>
    <x v="7"/>
    <s v="#3068 (1000-1892) #3070 (776-1891) #3070 (271-776)"/>
    <x v="0"/>
    <x v="1"/>
    <x v="0"/>
    <s v="KTM027"/>
  </r>
  <r>
    <x v="7"/>
    <s v="#3072(1896-775) #3072(774-0) #3068(1000-500)"/>
    <x v="2"/>
    <x v="1"/>
    <x v="0"/>
    <s v="KTM027"/>
  </r>
  <r>
    <x v="7"/>
    <s v="#3076(1896-0)#3068(500-0)"/>
    <x v="0"/>
    <x v="2"/>
    <x v="0"/>
    <s v="KTM027"/>
  </r>
  <r>
    <x v="7"/>
    <s v="#3074(1892-0) #3078(1893-1293)"/>
    <x v="0"/>
    <x v="1"/>
    <x v="1"/>
    <s v="KTM027"/>
  </r>
  <r>
    <x v="8"/>
    <s v="#3078(1293-0) "/>
    <x v="0"/>
    <x v="0"/>
    <x v="0"/>
    <s v="KTM027"/>
  </r>
  <r>
    <x v="8"/>
    <s v="#1266(637-0)#3080(1895-995)_x000a_ + SUBRA tapes (90m)"/>
    <x v="0"/>
    <x v="0"/>
    <x v="0"/>
    <s v="KTM027"/>
  </r>
  <r>
    <x v="8"/>
    <s v="#3084(1798-0) #3080(595-100)"/>
    <x v="0"/>
    <x v="1"/>
    <x v="0"/>
    <s v="KTM027"/>
  </r>
  <r>
    <x v="8"/>
    <s v="#3082(1894-000)"/>
    <x v="0"/>
    <x v="1"/>
    <x v="0"/>
    <s v="KTM027"/>
  </r>
  <r>
    <x v="8"/>
    <s v="#3092(1910-1300)#3086(1890-0)"/>
    <x v="0"/>
    <x v="1"/>
    <x v="1"/>
    <s v="KTM027"/>
  </r>
  <r>
    <x v="8"/>
    <s v="#3064(620-0)#3092(1300-0)"/>
    <x v="0"/>
    <x v="1"/>
    <x v="0"/>
    <s v="KTM027"/>
  </r>
  <r>
    <x v="8"/>
    <s v="#3094(1893-0)"/>
    <x v="0"/>
    <x v="1"/>
    <x v="0"/>
    <s v="KTM027"/>
  </r>
  <r>
    <x v="8"/>
    <s v="#3098(1911-0) #KM3038(793-340) "/>
    <x v="0"/>
    <x v="1"/>
    <x v="0"/>
    <s v="KTM027"/>
  </r>
  <r>
    <x v="8"/>
    <s v="#3104(1910-0) #3080(995-595)"/>
    <x v="0"/>
    <x v="1"/>
    <x v="0"/>
    <s v="KTM027"/>
  </r>
  <r>
    <x v="9"/>
    <s v="#3100(1911-0) #3092(1300-850)"/>
    <x v="0"/>
    <x v="1"/>
    <x v="0"/>
    <s v="KTM027"/>
  </r>
  <r>
    <x v="9"/>
    <s v="#3092(500-0)#3064(597-0)RnD"/>
    <x v="0"/>
    <x v="1"/>
    <x v="0"/>
    <s v="KTM027"/>
  </r>
  <r>
    <x v="9"/>
    <s v="#2782(2000-1431)"/>
    <x v="0"/>
    <x v="1"/>
    <x v="0"/>
    <s v="KTM027"/>
  </r>
  <r>
    <x v="9"/>
    <s v="#3092(850-500)#3102(2013-0)"/>
    <x v="1"/>
    <x v="1"/>
    <x v="0"/>
    <s v="R120"/>
  </r>
  <r>
    <x v="9"/>
    <s v="#3116(600-100)#3108(1898-0)"/>
    <x v="1"/>
    <x v="1"/>
    <x v="0"/>
    <s v="R120"/>
  </r>
  <r>
    <x v="9"/>
    <s v="#3116(1100-600)#3110(1868-0)"/>
    <x v="0"/>
    <x v="1"/>
    <x v="0"/>
    <s v="KTM027"/>
  </r>
  <r>
    <x v="9"/>
    <s v="#3116(1508-1118)#3120(1844-0)"/>
    <x v="0"/>
    <x v="1"/>
    <x v="0"/>
    <s v="KTM027"/>
  </r>
  <r>
    <x v="9"/>
    <s v="#3116(1898-1508)#3118(1897-0)"/>
    <x v="0"/>
    <x v="1"/>
    <x v="1"/>
    <s v="KTM027"/>
  </r>
  <r>
    <x v="10"/>
    <s v="#3114(1910-0)"/>
    <x v="0"/>
    <x v="1"/>
    <x v="0"/>
    <s v="KTM027"/>
  </r>
  <r>
    <x v="10"/>
    <s v="#3126 (1876-0) #3128(607-0)"/>
    <x v="2"/>
    <x v="1"/>
    <x v="0"/>
    <s v="KTM027"/>
  </r>
  <r>
    <x v="10"/>
    <s v="RND #KM3106(745-415) #KM3106(415-85) ULBRICH 100um #1264(298-628)"/>
    <x v="1"/>
    <x v="1"/>
    <x v="0"/>
    <s v="KTM027"/>
  </r>
  <r>
    <x v="10"/>
    <s v="#3122(1000-0)#3122(1000-1516)#3130(2180-2330)"/>
    <x v="0"/>
    <x v="1"/>
    <x v="0"/>
    <s v="KTM027"/>
  </r>
  <r>
    <x v="10"/>
    <s v="#3130(2330-2180)#3122(1000-0)#3138(200-5)#3132(785-585)#3122(1516-1000) RnD"/>
    <x v="0"/>
    <x v="4"/>
    <x v="0"/>
    <s v="KTM027"/>
  </r>
  <r>
    <x v="10"/>
    <s v="#3128 (607-1215)#3112 (1115-1569)#3112 (2-1108)"/>
    <x v="0"/>
    <x v="1"/>
    <x v="0"/>
    <s v="KTM027"/>
  </r>
  <r>
    <x v="10"/>
    <s v="#3128 (1905-1532) #3144 (1905-0)"/>
    <x v="0"/>
    <x v="1"/>
    <x v="0"/>
    <s v="KTM027"/>
  </r>
  <r>
    <x v="10"/>
    <s v="#3134(2322-904) ChemTrain#4#3134(610-0)"/>
    <x v="0"/>
    <x v="1"/>
    <x v="0"/>
    <s v="KTM027"/>
  </r>
  <r>
    <x v="11"/>
    <s v="#3112(1802-1569) #3128(1502-1220) #3148(1906-0)"/>
    <x v="0"/>
    <x v="2"/>
    <x v="0"/>
    <s v="KTM027"/>
  </r>
  <r>
    <x v="11"/>
    <s v="#3122(1886-1906)#3140(1129-1099)#3146(1905-0)"/>
    <x v="0"/>
    <x v="0"/>
    <x v="0"/>
    <s v="KTM027"/>
  </r>
  <r>
    <x v="11"/>
    <s v="#3054(1743-1540)#Ulb 105+Subra Tape"/>
    <x v="0"/>
    <x v="4"/>
    <x v="0"/>
    <s v="KTM027"/>
  </r>
  <r>
    <x v="11"/>
    <s v="#3124(1899-250)+Chem Train #5"/>
    <x v="0"/>
    <x v="2"/>
    <x v="0"/>
    <s v="KTM027"/>
  </r>
  <r>
    <x v="11"/>
    <s v="#3150(1903-000) + Chem Train #7"/>
    <x v="0"/>
    <x v="1"/>
    <x v="0"/>
    <s v="KTM027"/>
  </r>
  <r>
    <x v="11"/>
    <s v="#3150(670-0) + Chem Train #7"/>
    <x v="0"/>
    <x v="1"/>
    <x v="0"/>
    <s v="KTM027"/>
  </r>
  <r>
    <x v="11"/>
    <s v="#3152(1000-0)"/>
    <x v="3"/>
    <x v="1"/>
    <x v="0"/>
    <s v="R162"/>
  </r>
  <r>
    <x v="11"/>
    <s v="#3150 (1341-670) #3154 (1906-39)"/>
    <x v="0"/>
    <x v="0"/>
    <x v="0"/>
    <s v="R162"/>
  </r>
  <r>
    <x v="11"/>
    <s v="#3156 (1888-191) #3152 (1451-1000) + Chem Train #8"/>
    <x v="0"/>
    <x v="1"/>
    <x v="0"/>
    <s v="R162"/>
  </r>
  <r>
    <x v="11"/>
    <s v="#3158(2316-826)#3158(822-222)+Chem Train#9"/>
    <x v="0"/>
    <x v="1"/>
    <x v="0"/>
    <s v="R162"/>
  </r>
  <r>
    <x v="12"/>
    <s v="#3160(2309-1388) #3160(1378-0)"/>
    <x v="0"/>
    <x v="1"/>
    <x v="0"/>
    <s v="R162"/>
  </r>
  <r>
    <x v="12"/>
    <s v="#3158(221-000) #+Chem Train 10"/>
    <x v="0"/>
    <x v="1"/>
    <x v="0"/>
    <s v="R162"/>
  </r>
  <r>
    <x v="12"/>
    <s v="#2974Ref(30m) Chem Train#11"/>
    <x v="0"/>
    <x v="5"/>
    <x v="0"/>
    <s v="R162"/>
  </r>
  <r>
    <x v="12"/>
    <s v="#2974Ref(30m) Chem Train#11 Chem Train#12 #2974Ref(30m) #3138(2277-1777) #2974Ref(30m)"/>
    <x v="0"/>
    <x v="1"/>
    <x v="0"/>
    <s v="R162"/>
  </r>
  <r>
    <x v="12"/>
    <s v="#3164(1041-563)#3164(1533-1238)#3164(2266-1785)#ChemTrain13"/>
    <x v="0"/>
    <x v="1"/>
    <x v="0"/>
    <s v="R162"/>
  </r>
  <r>
    <x v="12"/>
    <s v="#3166(995-281)#3166(2328-1554)#3164(1041-563)#3164(1533-1238) + Chem Train #13"/>
    <x v="0"/>
    <x v="1"/>
    <x v="0"/>
    <s v="R162"/>
  </r>
  <r>
    <x v="12"/>
    <s v="#3168(1129-529) #3168(2093-1214) + ChemTrain #14"/>
    <x v="0"/>
    <x v="1"/>
    <x v="0"/>
    <s v="R162"/>
  </r>
  <r>
    <x v="12"/>
    <s v="#3172(2326-1200)+#3172(1200-0) ChemTrain #16"/>
    <x v="0"/>
    <x v="2"/>
    <x v="0"/>
    <s v="R162"/>
  </r>
  <r>
    <x v="12"/>
    <s v="#3170(2334-2064)#3170 (1569-1967)_x000a_#3170 (685-1568)#3170 (330-684)"/>
    <x v="0"/>
    <x v="2"/>
    <x v="0"/>
    <s v="R162"/>
  </r>
  <r>
    <x v="13"/>
    <s v="YB Deposition #3162(2111-2351) #3136(1785-1874)"/>
    <x v="0"/>
    <x v="1"/>
    <x v="0"/>
    <s v="R162"/>
  </r>
  <r>
    <x v="13"/>
    <s v="#3174(1876-1154)#3174(1154-654)#3174(654-154) #2974Ref tape in between(20m)"/>
    <x v="0"/>
    <x v="1"/>
    <x v="0"/>
    <s v="R162"/>
  </r>
  <r>
    <x v="13"/>
    <s v="#3142 (1689-1) #3142 (2317-1712) ChemTrain #17 RefTape #2974"/>
    <x v="0"/>
    <x v="1"/>
    <x v="0"/>
    <s v="R162"/>
  </r>
  <r>
    <x v="13"/>
    <s v="#3152 (1551-1451) + RND"/>
    <x v="0"/>
    <x v="1"/>
    <x v="0"/>
    <s v="R162"/>
  </r>
  <r>
    <x v="13"/>
    <s v="#3182(2044-1124)#3182(606-0)"/>
    <x v="0"/>
    <x v="1"/>
    <x v="0"/>
    <s v="KTM027"/>
  </r>
  <r>
    <x v="13"/>
    <s v="#3182(1575-1124) #3182(606-0)"/>
    <x v="0"/>
    <x v="1"/>
    <x v="0"/>
    <s v="R117"/>
  </r>
  <r>
    <x v="13"/>
    <s v="#3186(2320-1447)ChemTrain#17##3186(1439-0)"/>
    <x v="0"/>
    <x v="1"/>
    <x v="0"/>
    <s v="R117"/>
  </r>
  <r>
    <x v="14"/>
    <s v="#3184(2334-1836) #3184(1753-1327) #3184(622-0)"/>
    <x v="0"/>
    <x v="2"/>
    <x v="0"/>
    <s v="R117"/>
  </r>
  <r>
    <x v="14"/>
    <s v="#3194(625-2) #3194(1829-1215) #3194(2298-1839)"/>
    <x v="2"/>
    <x v="4"/>
    <x v="0"/>
    <s v="R117"/>
  </r>
  <r>
    <x v="14"/>
    <s v="#3178(2318-28)"/>
    <x v="0"/>
    <x v="1"/>
    <x v="0"/>
    <s v="R117"/>
  </r>
  <r>
    <x v="14"/>
    <s v="#KM3188(1073-0) RnD"/>
    <x v="0"/>
    <x v="1"/>
    <x v="0"/>
    <s v="R117"/>
  </r>
  <r>
    <x v="14"/>
    <s v="#KM3188(612-0) RnD"/>
    <x v="0"/>
    <x v="1"/>
    <x v="0"/>
    <s v="R117"/>
  </r>
  <r>
    <x v="14"/>
    <s v="#KM3208(1037-327)#KM3206(2329-1629)"/>
    <x v="0"/>
    <x v="1"/>
    <x v="0"/>
    <s v="R117"/>
  </r>
  <r>
    <x v="14"/>
    <s v="#3198(1995-2)"/>
    <x v="0"/>
    <x v="0"/>
    <x v="1"/>
    <s v="R117"/>
  </r>
  <r>
    <x v="14"/>
    <s v="#3196(2336-1325)#3196(1150-848)#3196(842-639)#3196(633-244)#3196(241-2)"/>
    <x v="2"/>
    <x v="2"/>
    <x v="0"/>
    <s v="R117"/>
  </r>
  <r>
    <x v="15"/>
    <s v="#3202(2323-1760)#3202(1600-0)"/>
    <x v="0"/>
    <x v="4"/>
    <x v="0"/>
    <s v="R117"/>
  </r>
  <r>
    <x v="15"/>
    <s v="#3180(1900-180)#3180(598-0)"/>
    <x v="0"/>
    <x v="1"/>
    <x v="0"/>
    <s v="R117"/>
  </r>
  <r>
    <x v="15"/>
    <s v="#3170(420-330) #3180(180-0)"/>
    <x v="0"/>
    <x v="1"/>
    <x v="0"/>
    <s v="R117"/>
  </r>
  <r>
    <x v="15"/>
    <s v=" #KM3206(1629-829) #3200(1598-1001) #3200(2056-1754)"/>
    <x v="0"/>
    <x v="1"/>
    <x v="0"/>
    <s v="R117"/>
  </r>
  <r>
    <x v="15"/>
    <s v="#3200(564-2) #3200(952-650) #3212(1736-1471) #3212(2276-1880)"/>
    <x v="0"/>
    <x v="2"/>
    <x v="0"/>
    <s v="R162"/>
  </r>
  <r>
    <x v="15"/>
    <s v="#3212(555-0) #3212(1353-555) #3122(1886-1760) #3122(1661-1545)"/>
    <x v="0"/>
    <x v="1"/>
    <x v="0"/>
    <s v="R162"/>
  </r>
  <r>
    <x v="15"/>
    <s v="#3212(555-0) #3212(1353-555)"/>
    <x v="0"/>
    <x v="1"/>
    <x v="0"/>
    <s v="R162"/>
  </r>
  <r>
    <x v="15"/>
    <s v="#3216(2775-1882)(1732-1475)CT18#3216(1188-556)(556-0)"/>
    <x v="0"/>
    <x v="1"/>
    <x v="0"/>
    <s v="R162"/>
  </r>
  <r>
    <x v="15"/>
    <s v="#3210(2274-1882) #3210(555-2) #3210(1465-555) #3210(1872-1468)"/>
    <x v="0"/>
    <x v="1"/>
    <x v="0"/>
    <s v="R162"/>
  </r>
  <r>
    <x v="16"/>
    <s v="#3134(2322-1437)#3216(455-188)"/>
    <x v="0"/>
    <x v="1"/>
    <x v="0"/>
    <s v="R162"/>
  </r>
  <r>
    <x v="16"/>
    <s v="#3222(1961-1469) #3222(1466-1187) #3222(1187-675) #3222(555-2)"/>
    <x v="0"/>
    <x v="1"/>
    <x v="0"/>
    <s v="R162"/>
  </r>
  <r>
    <x v="17"/>
    <s v="#3228(1277-1449) #3228(1750-2170) #3228(2195-2350)"/>
    <x v="0"/>
    <x v="1"/>
    <x v="0"/>
    <s v="R162"/>
  </r>
  <r>
    <x v="17"/>
    <s v="#3226(1651-001)"/>
    <x v="0"/>
    <x v="1"/>
    <x v="0"/>
    <s v="R162"/>
  </r>
  <r>
    <x v="17"/>
    <s v="#3214(935-0) #3214(1715-939) #3214(1943-1718)"/>
    <x v="0"/>
    <x v="1"/>
    <x v="0"/>
    <s v="R162"/>
  </r>
  <r>
    <x v="18"/>
    <s v="#3230(2276-1879) #3230(555-80) #3230(1186-674)_x000a_#3230(1466-1186) #3230(1735-1469) Chem Train #19"/>
    <x v="0"/>
    <x v="1"/>
    <x v="0"/>
    <s v="R162"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  <r>
    <x v="19"/>
    <m/>
    <x v="4"/>
    <x v="6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4EB8D-BC72-4EBB-9D10-F5F48F4C3610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AI20" firstHeaderRow="1" firstDataRow="2" firstDataCol="1" rowPageCount="1" colPageCount="1"/>
  <pivotFields count="6"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19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axis="axisPage" dataField="1" multipleItemSelectionAllowed="1" showAll="0">
      <items count="4">
        <item x="0"/>
        <item x="1"/>
        <item h="1" x="2"/>
        <item t="default"/>
      </items>
    </pivotField>
    <pivotField showAll="0"/>
  </pivotFields>
  <rowItems count="1">
    <i/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4" hier="-1"/>
  </pageFields>
  <dataFields count="1">
    <dataField name="Sum of E-Gun 2  OFF Occurrence" fld="4" baseField="0" baseItem="0"/>
  </dataFields>
  <formats count="20">
    <format dxfId="21">
      <pivotArea field="4" type="button" dataOnly="0" labelOnly="1" outline="0" axis="axisPage" fieldPosition="0"/>
    </format>
    <format dxfId="20">
      <pivotArea field="4" type="button" dataOnly="0" labelOnly="1" outline="0" axis="axisPage" fieldPosition="0"/>
    </format>
    <format dxfId="19">
      <pivotArea field="4" type="button" dataOnly="0" labelOnly="1" outline="0" axis="axisPage" fieldPosition="0"/>
    </format>
    <format dxfId="18">
      <pivotArea outline="0" collapsedLevelsAreSubtotals="1" fieldPosition="0"/>
    </format>
    <format dxfId="17">
      <pivotArea grandCol="1" outline="0" collapsedLevelsAreSubtotals="1" fieldPosition="0"/>
    </format>
    <format dxfId="16">
      <pivotArea dataOnly="0" labelOnly="1" grandCol="1" outline="0" fieldPosition="0"/>
    </format>
    <format dxfId="15">
      <pivotArea grandCol="1" outline="0" collapsedLevelsAreSubtotals="1" fieldPosition="0"/>
    </format>
    <format dxfId="14">
      <pivotArea dataOnly="0" labelOnly="1" grandCol="1" outline="0" fieldPosition="0"/>
    </format>
    <format dxfId="13">
      <pivotArea outline="0" collapsedLevelsAreSubtotals="1" fieldPosition="0">
        <references count="1">
          <reference field="0" count="1" selected="0">
            <x v="6"/>
          </reference>
        </references>
      </pivotArea>
    </format>
    <format dxfId="12">
      <pivotArea dataOnly="0" labelOnly="1" outline="0" axis="axisValues" fieldPosition="0"/>
    </format>
    <format dxfId="11">
      <pivotArea type="topRight" dataOnly="0" labelOnly="1" outline="0" offset="J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offset="A1" fieldPosition="0"/>
    </format>
    <format dxfId="7">
      <pivotArea dataOnly="0" labelOnly="1" outline="0" axis="axisValues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type="origin" dataOnly="0" labelOnly="1" outline="0" offset="A2" fieldPosition="0"/>
    </format>
    <format dxfId="3">
      <pivotArea dataOnly="0" labelOnly="1" fieldPosition="0">
        <references count="1">
          <reference field="0" count="19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C5D9F-C2D9-4236-92AA-65C640FE3C30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9:AI11" firstHeaderRow="1" firstDataRow="2" firstDataCol="1" rowPageCount="1" colPageCount="1"/>
  <pivotFields count="6"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h="1" x="19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axis="axisPage" dataField="1" multipleItemSelectionAllowed="1" showAll="0">
      <items count="8">
        <item x="1"/>
        <item x="0"/>
        <item x="2"/>
        <item x="3"/>
        <item h="1" x="6"/>
        <item h="1" x="4"/>
        <item h="1" x="5"/>
        <item t="default"/>
      </items>
    </pivotField>
    <pivotField showAll="0"/>
    <pivotField showAll="0"/>
  </pivotFields>
  <rowItems count="1">
    <i/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3" hier="-1"/>
  </pageFields>
  <dataFields count="1">
    <dataField name="Sum of E-Gun 1 OFF Occurrence" fld="3" baseField="0" baseItem="0"/>
  </dataFields>
  <formats count="28">
    <format dxfId="49">
      <pivotArea field="3" type="button" dataOnly="0" labelOnly="1" outline="0" axis="axisPage" fieldPosition="0"/>
    </format>
    <format dxfId="48">
      <pivotArea field="3" type="button" dataOnly="0" labelOnly="1" outline="0" axis="axisPage" fieldPosition="0"/>
    </format>
    <format dxfId="47">
      <pivotArea outline="0" collapsedLevelsAreSubtotals="1" fieldPosition="0">
        <references count="1">
          <reference field="0" count="1" selected="0">
            <x v="2"/>
          </reference>
        </references>
      </pivotArea>
    </format>
    <format dxfId="46">
      <pivotArea outline="0" collapsedLevelsAreSubtotals="1" fieldPosition="0"/>
    </format>
    <format dxfId="45">
      <pivotArea outline="0" collapsedLevelsAreSubtotals="1" fieldPosition="0">
        <references count="1">
          <reference field="0" count="1" selected="0">
            <x v="6"/>
          </reference>
        </references>
      </pivotArea>
    </format>
    <format dxfId="44">
      <pivotArea grandCol="1" outline="0" collapsedLevelsAreSubtotals="1" fieldPosition="0"/>
    </format>
    <format dxfId="43">
      <pivotArea dataOnly="0" labelOnly="1" grandCol="1" outline="0" fieldPosition="0"/>
    </format>
    <format dxfId="42">
      <pivotArea grandCol="1" outline="0" collapsedLevelsAreSubtotals="1" fieldPosition="0"/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offset="A1" fieldPosition="0"/>
    </format>
    <format dxfId="37">
      <pivotArea dataOnly="0" labelOnly="1" outline="0" axis="axisValues" fieldPosition="0"/>
    </format>
    <format dxfId="36">
      <pivotArea field="0" type="button" dataOnly="0" labelOnly="1" outline="0" axis="axisCol" fieldPosition="0"/>
    </format>
    <format dxfId="35">
      <pivotArea type="origin" dataOnly="0" labelOnly="1" outline="0" offset="A2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Col="1" outline="0" fieldPosition="0"/>
    </format>
    <format dxfId="32">
      <pivotArea type="topRight" dataOnly="0" labelOnly="1" outline="0" fieldPosition="0"/>
    </format>
    <format dxfId="31">
      <pivotArea type="topRight" dataOnly="0" labelOnly="1" outline="0" fieldPosition="0"/>
    </format>
    <format dxfId="30">
      <pivotArea type="topRight" dataOnly="0" labelOnly="1" outline="0" fieldPosition="0"/>
    </format>
    <format dxfId="29">
      <pivotArea type="topRight" dataOnly="0" labelOnly="1" outline="0" fieldPosition="0"/>
    </format>
    <format dxfId="28">
      <pivotArea type="topRight" dataOnly="0" labelOnly="1" outline="0" fieldPosition="0"/>
    </format>
    <format dxfId="27">
      <pivotArea type="topRight" dataOnly="0" labelOnly="1" outline="0" offset="J1" fieldPosition="0"/>
    </format>
    <format dxfId="26">
      <pivotArea type="topRight" dataOnly="0" labelOnly="1" outline="0" offset="J1" fieldPosition="0"/>
    </format>
    <format dxfId="25">
      <pivotArea type="origin" dataOnly="0" labelOnly="1" outline="0" offset="A1" fieldPosition="0"/>
    </format>
    <format dxfId="24">
      <pivotArea dataOnly="0" labelOnly="1" outline="0" axis="axisValues" fieldPosition="0"/>
    </format>
    <format dxfId="23">
      <pivotArea outline="0" collapsedLevelsAreSubtotals="1" fieldPosition="0">
        <references count="1">
          <reference field="0" count="1" selected="0">
            <x v="12"/>
          </reference>
        </references>
      </pivotArea>
    </format>
    <format dxfId="22">
      <pivotArea outline="0" collapsedLevelsAreSubtotals="1" fieldPosition="0">
        <references count="1">
          <reference field="0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F66B2-01B5-4B7B-9416-C6C4A8211C63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6:AI28" firstHeaderRow="1" firstDataRow="2" firstDataCol="1" rowPageCount="1" colPageCount="1"/>
  <pivotFields count="6"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19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Page" dataField="1" multipleItemSelectionAllowed="1" showAll="0">
      <items count="6">
        <item x="0"/>
        <item x="2"/>
        <item x="1"/>
        <item h="1" x="4"/>
        <item h="1"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</pivotFields>
  <rowItems count="1">
    <i/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2" hier="-1"/>
  </pageFields>
  <dataFields count="1">
    <dataField name="Sum of ION Source  OFF" fld="2" baseField="0" baseItem="0"/>
  </dataFields>
  <formats count="26">
    <format dxfId="75">
      <pivotArea field="4" type="button" dataOnly="0" labelOnly="1" outline="0"/>
    </format>
    <format dxfId="74">
      <pivotArea field="4" type="button" dataOnly="0" labelOnly="1" outline="0"/>
    </format>
    <format dxfId="73">
      <pivotArea field="4" type="button" dataOnly="0" labelOnly="1" outline="0"/>
    </format>
    <format dxfId="72">
      <pivotArea field="2" type="button" dataOnly="0" labelOnly="1" outline="0" axis="axisPage" fieldPosition="0"/>
    </format>
    <format dxfId="71">
      <pivotArea field="2" type="button" dataOnly="0" labelOnly="1" outline="0" axis="axisPage" fieldPosition="0"/>
    </format>
    <format dxfId="70">
      <pivotArea grandCol="1" outline="0" collapsedLevelsAreSubtotals="1" fieldPosition="0"/>
    </format>
    <format dxfId="69">
      <pivotArea dataOnly="0" labelOnly="1" grandCol="1" outline="0" fieldPosition="0"/>
    </format>
    <format dxfId="68">
      <pivotArea grandCol="1" outline="0" collapsedLevelsAreSubtotals="1" fieldPosition="0"/>
    </format>
    <format dxfId="67">
      <pivotArea dataOnly="0" labelOnly="1" grandCol="1" outline="0" fieldPosition="0"/>
    </format>
    <format dxfId="66">
      <pivotArea type="all" dataOnly="0" outline="0" fieldPosition="0"/>
    </format>
    <format dxfId="65">
      <pivotArea outline="0" collapsedLevelsAreSubtotals="1" fieldPosition="0">
        <references count="1">
          <reference field="0" count="1" selected="0">
            <x v="2"/>
          </reference>
        </references>
      </pivotArea>
    </format>
    <format dxfId="64">
      <pivotArea outline="0" collapsedLevelsAreSubtotals="1" fieldPosition="0">
        <references count="1">
          <reference field="0" count="1" selected="0">
            <x v="6"/>
          </reference>
        </references>
      </pivotArea>
    </format>
    <format dxfId="63">
      <pivotArea dataOnly="0" labelOnly="1" outline="0" axis="axisValues" fieldPosition="0"/>
    </format>
    <format dxfId="62">
      <pivotArea type="topRight" dataOnly="0" labelOnly="1" outline="0" offset="J1" fieldPosition="0"/>
    </format>
    <format dxfId="61">
      <pivotArea outline="0" collapsedLevelsAreSubtotals="1" fieldPosition="0">
        <references count="1">
          <reference field="0" count="1" selected="0">
            <x v="1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offset="A1" fieldPosition="0"/>
    </format>
    <format dxfId="57">
      <pivotArea dataOnly="0" labelOnly="1" outline="0" axis="axisValues" fieldPosition="0"/>
    </format>
    <format dxfId="56">
      <pivotArea field="0" type="button" dataOnly="0" labelOnly="1" outline="0" axis="axisCol" fieldPosition="0"/>
    </format>
    <format dxfId="55">
      <pivotArea type="topRight" dataOnly="0" labelOnly="1" outline="0" fieldPosition="0"/>
    </format>
    <format dxfId="54">
      <pivotArea type="origin" dataOnly="0" labelOnly="1" outline="0" offset="A2" fieldPosition="0"/>
    </format>
    <format dxfId="53">
      <pivotArea dataOnly="0" labelOnly="1" fieldPosition="0">
        <references count="1">
          <reference field="0" count="19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52">
      <pivotArea dataOnly="0" labelOnly="1" grandCol="1" outline="0" fieldPosition="0"/>
    </format>
    <format dxfId="51">
      <pivotArea type="topRight" dataOnly="0" labelOnly="1" outline="0" fieldPosition="0"/>
    </format>
    <format dxfId="50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C9E52-B3C7-4943-BC54-051CE274F3CA}" name="Table1" displayName="Table1" ref="A3:F14" totalsRowShown="0">
  <autoFilter ref="A3:F14" xr:uid="{664C9E52-B3C7-4943-BC54-051CE274F3CA}"/>
  <tableColumns count="6">
    <tableColumn id="1" xr3:uid="{56C473A5-DE98-4566-9A29-064ABD9D28D0}" name="Workweek"/>
    <tableColumn id="2" xr3:uid="{F47C97B7-E004-493D-8B18-B0DB6CFB5578}" name="Tape Number"/>
    <tableColumn id="3" xr3:uid="{B1FF880C-228E-40A0-A869-0904B4430B67}" name="ION Source  OFF"/>
    <tableColumn id="4" xr3:uid="{4F3B3B6E-9C24-4B02-9A7A-BDFCF3B3784C}" name="E-Gun 1 OFF Occurrence"/>
    <tableColumn id="5" xr3:uid="{2CC3B620-8653-4DD8-919D-A47D6438BF6D}" name="E-Gun 2  OFF Occurrence"/>
    <tableColumn id="6" xr3:uid="{A3FF7734-98C8-47B1-99AC-FD2AECB6D02B}" name="Gr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EB10-52CF-4F6E-B5BF-3595573A1827}">
  <dimension ref="A1:AH333"/>
  <sheetViews>
    <sheetView tabSelected="1" topLeftCell="E1" zoomScaleNormal="100" workbookViewId="0">
      <pane ySplit="2" topLeftCell="A267" activePane="bottomLeft" state="frozen"/>
      <selection pane="bottomLeft" activeCell="G301" sqref="G301"/>
    </sheetView>
  </sheetViews>
  <sheetFormatPr defaultColWidth="8.7109375" defaultRowHeight="14.25"/>
  <cols>
    <col min="1" max="3" width="8.7109375" style="22" hidden="1" customWidth="1"/>
    <col min="4" max="4" width="9.28515625" style="22" hidden="1" customWidth="1"/>
    <col min="5" max="5" width="11.42578125" style="22" bestFit="1" customWidth="1"/>
    <col min="6" max="6" width="11.42578125" style="22" customWidth="1"/>
    <col min="7" max="7" width="61.140625" style="23" customWidth="1"/>
    <col min="8" max="8" width="11.85546875" style="23" bestFit="1" customWidth="1"/>
    <col min="9" max="9" width="15.42578125" style="22" customWidth="1"/>
    <col min="10" max="10" width="23.42578125" style="22" bestFit="1" customWidth="1"/>
    <col min="11" max="11" width="12.140625" style="22" customWidth="1"/>
    <col min="12" max="12" width="12" style="22" customWidth="1"/>
    <col min="13" max="13" width="6.140625" style="44" bestFit="1" customWidth="1"/>
    <col min="14" max="14" width="12" style="22" customWidth="1"/>
    <col min="15" max="15" width="6.28515625" style="22" customWidth="1"/>
    <col min="16" max="16" width="12" style="22" customWidth="1"/>
    <col min="17" max="17" width="7.42578125" style="22" customWidth="1"/>
    <col min="18" max="18" width="12" style="22" customWidth="1"/>
    <col min="19" max="19" width="8.85546875" style="22" customWidth="1"/>
    <col min="20" max="20" width="13.7109375" style="44" hidden="1" customWidth="1"/>
    <col min="21" max="21" width="12.7109375" style="22" customWidth="1"/>
    <col min="22" max="22" width="14.140625" style="22" bestFit="1" customWidth="1"/>
    <col min="23" max="23" width="14.7109375" style="22" customWidth="1"/>
    <col min="24" max="24" width="10.85546875" style="22" customWidth="1"/>
    <col min="25" max="25" width="104.28515625" style="23" customWidth="1"/>
    <col min="26" max="31" width="8.7109375" style="22"/>
    <col min="32" max="32" width="13.42578125" style="22" customWidth="1"/>
    <col min="33" max="33" width="14.7109375" style="22" customWidth="1"/>
    <col min="34" max="16384" width="8.7109375" style="22"/>
  </cols>
  <sheetData>
    <row r="1" spans="1:25" s="15" customFormat="1" ht="44.25" customHeight="1">
      <c r="A1" s="191" t="s">
        <v>89</v>
      </c>
      <c r="B1" s="191" t="s">
        <v>90</v>
      </c>
      <c r="C1" s="197" t="s">
        <v>88</v>
      </c>
      <c r="D1" s="194" t="s">
        <v>91</v>
      </c>
      <c r="E1" s="198" t="s">
        <v>0</v>
      </c>
      <c r="F1" s="198" t="s">
        <v>319</v>
      </c>
      <c r="G1" s="195" t="s">
        <v>1</v>
      </c>
      <c r="H1" s="195" t="s">
        <v>30</v>
      </c>
      <c r="I1" s="195" t="s">
        <v>9</v>
      </c>
      <c r="J1" s="195" t="s">
        <v>67</v>
      </c>
      <c r="K1" s="195" t="s">
        <v>22</v>
      </c>
      <c r="L1" s="200" t="s">
        <v>2</v>
      </c>
      <c r="M1" s="200"/>
      <c r="N1" s="201" t="s">
        <v>3</v>
      </c>
      <c r="O1" s="201"/>
      <c r="P1" s="202" t="s">
        <v>4</v>
      </c>
      <c r="Q1" s="203"/>
      <c r="R1" s="201" t="s">
        <v>5</v>
      </c>
      <c r="S1" s="201"/>
      <c r="T1" s="192" t="s">
        <v>92</v>
      </c>
      <c r="U1" s="195" t="s">
        <v>45</v>
      </c>
      <c r="V1" s="195" t="s">
        <v>46</v>
      </c>
      <c r="W1" s="195" t="s">
        <v>47</v>
      </c>
      <c r="X1" s="198" t="s">
        <v>20</v>
      </c>
      <c r="Y1" s="206" t="s">
        <v>8</v>
      </c>
    </row>
    <row r="2" spans="1:25" s="16" customFormat="1" ht="15">
      <c r="A2" s="191"/>
      <c r="B2" s="191"/>
      <c r="C2" s="197"/>
      <c r="D2" s="194"/>
      <c r="E2" s="199"/>
      <c r="F2" s="199"/>
      <c r="G2" s="196"/>
      <c r="H2" s="196"/>
      <c r="I2" s="196"/>
      <c r="J2" s="196"/>
      <c r="K2" s="196"/>
      <c r="L2" s="13" t="s">
        <v>6</v>
      </c>
      <c r="M2" s="42" t="s">
        <v>7</v>
      </c>
      <c r="N2" s="13" t="s">
        <v>6</v>
      </c>
      <c r="O2" s="13" t="s">
        <v>7</v>
      </c>
      <c r="P2" s="13" t="s">
        <v>6</v>
      </c>
      <c r="Q2" s="13" t="s">
        <v>7</v>
      </c>
      <c r="R2" s="13" t="s">
        <v>6</v>
      </c>
      <c r="S2" s="13" t="s">
        <v>7</v>
      </c>
      <c r="T2" s="193"/>
      <c r="U2" s="196"/>
      <c r="V2" s="196"/>
      <c r="W2" s="196"/>
      <c r="X2" s="199"/>
      <c r="Y2" s="206"/>
    </row>
    <row r="3" spans="1:25" s="16" customFormat="1" ht="15">
      <c r="A3" s="16">
        <v>60</v>
      </c>
      <c r="B3" s="16">
        <v>3</v>
      </c>
      <c r="C3" s="16">
        <f>H3+120</f>
        <v>1782</v>
      </c>
      <c r="D3" s="16">
        <f>(C3/B3)/A3</f>
        <v>9.9</v>
      </c>
      <c r="E3" s="60" t="s">
        <v>126</v>
      </c>
      <c r="F3" s="60">
        <v>571</v>
      </c>
      <c r="G3" s="17" t="s">
        <v>128</v>
      </c>
      <c r="H3" s="17">
        <v>1662</v>
      </c>
      <c r="I3" s="12" t="s">
        <v>48</v>
      </c>
      <c r="J3" s="12" t="s">
        <v>21</v>
      </c>
      <c r="K3" s="12">
        <v>37</v>
      </c>
      <c r="L3" s="21">
        <v>46027</v>
      </c>
      <c r="M3" s="33">
        <v>0.47847222222222224</v>
      </c>
      <c r="N3" s="21">
        <v>46027</v>
      </c>
      <c r="O3" s="18">
        <v>0.62013888888888891</v>
      </c>
      <c r="P3" s="21">
        <v>46028</v>
      </c>
      <c r="Q3" s="18">
        <v>3.2638888888888891E-2</v>
      </c>
      <c r="R3" s="21">
        <v>46028</v>
      </c>
      <c r="S3" s="18">
        <v>6.9444444444444448E-2</v>
      </c>
      <c r="T3" s="33">
        <f>O3+(D3/24)</f>
        <v>1.0326388888888889</v>
      </c>
      <c r="U3" s="12">
        <v>0</v>
      </c>
      <c r="V3" s="12">
        <v>1</v>
      </c>
      <c r="W3" s="12">
        <v>0</v>
      </c>
      <c r="X3" s="12" t="s">
        <v>104</v>
      </c>
      <c r="Y3" s="160" t="s">
        <v>130</v>
      </c>
    </row>
    <row r="4" spans="1:25" s="16" customFormat="1" ht="15">
      <c r="A4" s="16">
        <v>60</v>
      </c>
      <c r="B4" s="16">
        <v>3</v>
      </c>
      <c r="C4" s="16">
        <f t="shared" ref="C4:C39" si="0">H4+120</f>
        <v>1785</v>
      </c>
      <c r="D4" s="16">
        <f t="shared" ref="D4:D39" si="1">(C4/B4)/A4</f>
        <v>9.9166666666666661</v>
      </c>
      <c r="E4" s="60" t="s">
        <v>126</v>
      </c>
      <c r="F4" s="60">
        <v>572</v>
      </c>
      <c r="G4" s="17" t="s">
        <v>131</v>
      </c>
      <c r="H4" s="17">
        <v>1665</v>
      </c>
      <c r="I4" s="12" t="s">
        <v>132</v>
      </c>
      <c r="J4" s="12" t="s">
        <v>21</v>
      </c>
      <c r="K4" s="12">
        <v>37</v>
      </c>
      <c r="L4" s="21">
        <v>46028</v>
      </c>
      <c r="M4" s="33">
        <v>0.42708333333333331</v>
      </c>
      <c r="N4" s="21">
        <v>46028</v>
      </c>
      <c r="O4" s="18">
        <v>0.55069444444444449</v>
      </c>
      <c r="P4" s="21">
        <v>46028</v>
      </c>
      <c r="Q4" s="18">
        <v>0.96388888888888891</v>
      </c>
      <c r="R4" s="21">
        <v>46029</v>
      </c>
      <c r="S4" s="18">
        <v>6.9444444444444441E-3</v>
      </c>
      <c r="T4" s="33">
        <f t="shared" ref="T4:T38" si="2">O4+(D4/24)</f>
        <v>0.96388888888888891</v>
      </c>
      <c r="U4" s="12">
        <v>0</v>
      </c>
      <c r="V4" s="12">
        <v>0</v>
      </c>
      <c r="W4" s="12">
        <v>0</v>
      </c>
      <c r="X4" s="69" t="s">
        <v>129</v>
      </c>
      <c r="Y4" s="17" t="s">
        <v>133</v>
      </c>
    </row>
    <row r="5" spans="1:25" s="16" customFormat="1" ht="15">
      <c r="A5" s="16">
        <v>60</v>
      </c>
      <c r="B5" s="16">
        <v>3</v>
      </c>
      <c r="C5" s="16">
        <f t="shared" si="0"/>
        <v>1782</v>
      </c>
      <c r="D5" s="16">
        <f t="shared" si="1"/>
        <v>9.9</v>
      </c>
      <c r="E5" s="60" t="s">
        <v>126</v>
      </c>
      <c r="F5" s="60">
        <v>573</v>
      </c>
      <c r="G5" s="17" t="s">
        <v>134</v>
      </c>
      <c r="H5" s="17">
        <v>1662</v>
      </c>
      <c r="I5" s="12" t="s">
        <v>136</v>
      </c>
      <c r="J5" s="12" t="s">
        <v>21</v>
      </c>
      <c r="K5" s="12">
        <v>37</v>
      </c>
      <c r="L5" s="21">
        <v>46029</v>
      </c>
      <c r="M5" s="33">
        <v>0.3347222222222222</v>
      </c>
      <c r="N5" s="21">
        <v>46029</v>
      </c>
      <c r="O5" s="18">
        <v>0.41666666666666669</v>
      </c>
      <c r="P5" s="21">
        <v>46029</v>
      </c>
      <c r="Q5" s="18">
        <v>0.82916666666666672</v>
      </c>
      <c r="R5" s="21">
        <v>46029</v>
      </c>
      <c r="S5" s="18">
        <v>0.86458333333333337</v>
      </c>
      <c r="T5" s="33">
        <f t="shared" si="2"/>
        <v>0.82916666666666672</v>
      </c>
      <c r="U5" s="12">
        <v>0</v>
      </c>
      <c r="V5" s="12">
        <v>0</v>
      </c>
      <c r="W5" s="12">
        <v>0</v>
      </c>
      <c r="X5" s="12" t="s">
        <v>129</v>
      </c>
      <c r="Y5" s="17" t="s">
        <v>135</v>
      </c>
    </row>
    <row r="6" spans="1:25" s="16" customFormat="1" ht="15">
      <c r="A6" s="16">
        <v>60</v>
      </c>
      <c r="B6" s="16">
        <v>3</v>
      </c>
      <c r="C6" s="16">
        <f t="shared" si="0"/>
        <v>1813</v>
      </c>
      <c r="D6" s="16">
        <f t="shared" si="1"/>
        <v>10.072222222222223</v>
      </c>
      <c r="E6" s="60" t="s">
        <v>126</v>
      </c>
      <c r="F6" s="60">
        <v>574</v>
      </c>
      <c r="G6" s="17" t="s">
        <v>137</v>
      </c>
      <c r="H6" s="17">
        <f>1536+157</f>
        <v>1693</v>
      </c>
      <c r="I6" s="12" t="s">
        <v>138</v>
      </c>
      <c r="J6" s="12" t="s">
        <v>21</v>
      </c>
      <c r="K6" s="12">
        <v>37</v>
      </c>
      <c r="L6" s="21">
        <v>46029</v>
      </c>
      <c r="M6" s="33">
        <v>0.98402777777777772</v>
      </c>
      <c r="N6" s="21">
        <v>46030</v>
      </c>
      <c r="O6" s="18">
        <v>0.13263888888888889</v>
      </c>
      <c r="P6" s="21">
        <v>46030</v>
      </c>
      <c r="Q6" s="18">
        <v>0.55277777777777781</v>
      </c>
      <c r="R6" s="21">
        <v>46030</v>
      </c>
      <c r="S6" s="18">
        <v>0.59583333333333333</v>
      </c>
      <c r="T6" s="33">
        <f t="shared" si="2"/>
        <v>0.55231481481481481</v>
      </c>
      <c r="U6" s="12">
        <v>0</v>
      </c>
      <c r="V6" s="12">
        <v>0</v>
      </c>
      <c r="W6" s="12">
        <v>0</v>
      </c>
      <c r="X6" s="12" t="s">
        <v>129</v>
      </c>
      <c r="Y6" s="17" t="s">
        <v>143</v>
      </c>
    </row>
    <row r="7" spans="1:25" s="16" customFormat="1" ht="30">
      <c r="A7" s="16">
        <v>60</v>
      </c>
      <c r="B7" s="16">
        <v>3</v>
      </c>
      <c r="C7" s="16">
        <f t="shared" si="0"/>
        <v>562</v>
      </c>
      <c r="D7" s="16">
        <f t="shared" si="1"/>
        <v>3.1222222222222222</v>
      </c>
      <c r="E7" s="60" t="s">
        <v>126</v>
      </c>
      <c r="F7" s="60">
        <v>575</v>
      </c>
      <c r="G7" s="17" t="s">
        <v>145</v>
      </c>
      <c r="H7" s="12">
        <v>442</v>
      </c>
      <c r="I7" s="12" t="s">
        <v>139</v>
      </c>
      <c r="J7" s="12" t="s">
        <v>21</v>
      </c>
      <c r="K7" s="12">
        <v>37</v>
      </c>
      <c r="L7" s="21">
        <v>46030</v>
      </c>
      <c r="M7" s="33">
        <v>0.81874999999999998</v>
      </c>
      <c r="N7" s="21">
        <v>46030</v>
      </c>
      <c r="O7" s="18">
        <v>0.94791666666666663</v>
      </c>
      <c r="P7" s="21">
        <v>46031</v>
      </c>
      <c r="Q7" s="18">
        <v>5.6250000000000001E-2</v>
      </c>
      <c r="R7" s="21">
        <v>46031</v>
      </c>
      <c r="S7" s="18">
        <v>7.4999999999999997E-2</v>
      </c>
      <c r="T7" s="33">
        <f t="shared" si="2"/>
        <v>1.0780092592592592</v>
      </c>
      <c r="U7" s="12">
        <v>0</v>
      </c>
      <c r="V7" s="12">
        <v>0</v>
      </c>
      <c r="W7" s="12">
        <v>0</v>
      </c>
      <c r="X7" s="12" t="s">
        <v>129</v>
      </c>
      <c r="Y7" s="17" t="s">
        <v>142</v>
      </c>
    </row>
    <row r="8" spans="1:25" s="16" customFormat="1" ht="28.5">
      <c r="A8" s="16">
        <v>60</v>
      </c>
      <c r="B8" s="16">
        <v>3</v>
      </c>
      <c r="C8" s="16">
        <f t="shared" si="0"/>
        <v>2151</v>
      </c>
      <c r="D8" s="16">
        <f t="shared" si="1"/>
        <v>11.95</v>
      </c>
      <c r="E8" s="60" t="s">
        <v>126</v>
      </c>
      <c r="F8" s="60">
        <v>576</v>
      </c>
      <c r="G8" s="17" t="s">
        <v>144</v>
      </c>
      <c r="H8" s="12">
        <f>646+1385</f>
        <v>2031</v>
      </c>
      <c r="I8" s="12" t="s">
        <v>146</v>
      </c>
      <c r="J8" s="71" t="s">
        <v>140</v>
      </c>
      <c r="K8" s="71" t="s">
        <v>141</v>
      </c>
      <c r="L8" s="21">
        <v>46031</v>
      </c>
      <c r="M8" s="33">
        <v>0.14930555555555555</v>
      </c>
      <c r="N8" s="21">
        <v>46031</v>
      </c>
      <c r="O8" s="18">
        <v>0.26944444444444443</v>
      </c>
      <c r="P8" s="21">
        <v>46031</v>
      </c>
      <c r="Q8" s="18">
        <v>0.76736111111111116</v>
      </c>
      <c r="R8" s="21">
        <v>46031</v>
      </c>
      <c r="S8" s="18">
        <v>0.81597222222222221</v>
      </c>
      <c r="T8" s="33">
        <f t="shared" si="2"/>
        <v>0.76736111111111105</v>
      </c>
      <c r="U8" s="12">
        <v>0</v>
      </c>
      <c r="V8" s="12">
        <v>0</v>
      </c>
      <c r="W8" s="12">
        <v>0</v>
      </c>
      <c r="X8" s="12" t="s">
        <v>129</v>
      </c>
      <c r="Y8" s="17" t="s">
        <v>147</v>
      </c>
    </row>
    <row r="9" spans="1:25" s="16" customFormat="1" ht="15">
      <c r="A9" s="16">
        <v>60</v>
      </c>
      <c r="B9" s="16">
        <v>3</v>
      </c>
      <c r="C9" s="16">
        <f t="shared" si="0"/>
        <v>1740</v>
      </c>
      <c r="D9" s="16">
        <f t="shared" si="1"/>
        <v>9.6666666666666661</v>
      </c>
      <c r="E9" s="60" t="s">
        <v>126</v>
      </c>
      <c r="F9" s="60">
        <v>577</v>
      </c>
      <c r="G9" s="17" t="s">
        <v>148</v>
      </c>
      <c r="H9" s="12">
        <v>1620</v>
      </c>
      <c r="I9" s="12" t="s">
        <v>146</v>
      </c>
      <c r="J9" s="12" t="s">
        <v>21</v>
      </c>
      <c r="K9" s="12">
        <v>37</v>
      </c>
      <c r="L9" s="21">
        <v>46031</v>
      </c>
      <c r="M9" s="33">
        <v>0.98333333333333328</v>
      </c>
      <c r="N9" s="21">
        <v>46032</v>
      </c>
      <c r="O9" s="18">
        <v>0.11041666666666666</v>
      </c>
      <c r="P9" s="21">
        <v>46032</v>
      </c>
      <c r="Q9" s="18">
        <v>0.51388888888888884</v>
      </c>
      <c r="R9" s="21">
        <v>46032</v>
      </c>
      <c r="S9" s="18">
        <v>0.5625</v>
      </c>
      <c r="T9" s="33">
        <f t="shared" si="2"/>
        <v>0.5131944444444444</v>
      </c>
      <c r="U9" s="12">
        <v>0</v>
      </c>
      <c r="V9" s="12">
        <v>0</v>
      </c>
      <c r="W9" s="12">
        <v>0</v>
      </c>
      <c r="X9" s="12" t="s">
        <v>129</v>
      </c>
      <c r="Y9" s="17" t="s">
        <v>149</v>
      </c>
    </row>
    <row r="10" spans="1:25" s="16" customFormat="1" ht="32.25" customHeight="1">
      <c r="A10" s="16">
        <v>60</v>
      </c>
      <c r="B10" s="16">
        <v>3</v>
      </c>
      <c r="C10" s="16">
        <f t="shared" si="0"/>
        <v>1776</v>
      </c>
      <c r="D10" s="16">
        <f t="shared" si="1"/>
        <v>9.8666666666666671</v>
      </c>
      <c r="E10" s="60" t="s">
        <v>126</v>
      </c>
      <c r="F10" s="60">
        <v>578</v>
      </c>
      <c r="G10" s="17" t="s">
        <v>150</v>
      </c>
      <c r="H10" s="17">
        <v>1656</v>
      </c>
      <c r="I10" s="12" t="s">
        <v>151</v>
      </c>
      <c r="J10" s="12" t="s">
        <v>21</v>
      </c>
      <c r="K10" s="12">
        <v>37</v>
      </c>
      <c r="L10" s="21">
        <v>46032</v>
      </c>
      <c r="M10" s="33">
        <v>0.68888888888888888</v>
      </c>
      <c r="N10" s="21">
        <v>46032</v>
      </c>
      <c r="O10" s="18">
        <v>0.8208333333333333</v>
      </c>
      <c r="P10" s="21">
        <v>46033</v>
      </c>
      <c r="Q10" s="18">
        <v>0.23194444444444445</v>
      </c>
      <c r="R10" s="21">
        <v>46033</v>
      </c>
      <c r="S10" s="18">
        <v>0.27500000000000002</v>
      </c>
      <c r="T10" s="33">
        <f t="shared" si="2"/>
        <v>1.2319444444444445</v>
      </c>
      <c r="U10" s="12">
        <v>0</v>
      </c>
      <c r="V10" s="12">
        <v>2</v>
      </c>
      <c r="W10" s="12">
        <v>0</v>
      </c>
      <c r="X10" s="12" t="s">
        <v>129</v>
      </c>
      <c r="Y10" s="17" t="s">
        <v>152</v>
      </c>
    </row>
    <row r="11" spans="1:25" s="16" customFormat="1" ht="15.75" thickBot="1">
      <c r="A11" s="16">
        <v>60</v>
      </c>
      <c r="B11" s="16">
        <v>3</v>
      </c>
      <c r="C11" s="16">
        <f t="shared" si="0"/>
        <v>2021</v>
      </c>
      <c r="D11" s="16">
        <f t="shared" si="1"/>
        <v>11.227777777777778</v>
      </c>
      <c r="E11" s="75" t="s">
        <v>126</v>
      </c>
      <c r="F11" s="60">
        <v>579</v>
      </c>
      <c r="G11" s="76" t="s">
        <v>153</v>
      </c>
      <c r="H11" s="76">
        <v>1901</v>
      </c>
      <c r="I11" s="77" t="s">
        <v>146</v>
      </c>
      <c r="J11" s="77" t="s">
        <v>21</v>
      </c>
      <c r="K11" s="77">
        <v>37</v>
      </c>
      <c r="L11" s="45">
        <v>46033</v>
      </c>
      <c r="M11" s="78">
        <v>0.3611111111111111</v>
      </c>
      <c r="N11" s="45">
        <v>46033</v>
      </c>
      <c r="O11" s="46">
        <v>0.49861111111111112</v>
      </c>
      <c r="P11" s="45">
        <v>46033</v>
      </c>
      <c r="Q11" s="46">
        <v>0.96666666666666667</v>
      </c>
      <c r="R11" s="45">
        <v>46034</v>
      </c>
      <c r="S11" s="46">
        <v>3.472222222222222E-3</v>
      </c>
      <c r="T11" s="78">
        <f t="shared" si="2"/>
        <v>0.96643518518518512</v>
      </c>
      <c r="U11" s="77">
        <v>0</v>
      </c>
      <c r="V11" s="77">
        <v>0</v>
      </c>
      <c r="W11" s="77">
        <v>0</v>
      </c>
      <c r="X11" s="77" t="s">
        <v>129</v>
      </c>
      <c r="Y11" s="76" t="s">
        <v>154</v>
      </c>
    </row>
    <row r="12" spans="1:25" s="16" customFormat="1" ht="15">
      <c r="A12" s="16">
        <v>60</v>
      </c>
      <c r="B12" s="16">
        <v>3</v>
      </c>
      <c r="C12" s="16">
        <f t="shared" si="0"/>
        <v>2865</v>
      </c>
      <c r="D12" s="16">
        <f t="shared" si="1"/>
        <v>15.916666666666666</v>
      </c>
      <c r="E12" s="79" t="s">
        <v>155</v>
      </c>
      <c r="F12" s="60">
        <v>580</v>
      </c>
      <c r="G12" s="72" t="s">
        <v>157</v>
      </c>
      <c r="H12" s="72">
        <v>2745</v>
      </c>
      <c r="I12" s="19" t="s">
        <v>158</v>
      </c>
      <c r="J12" s="81" t="s">
        <v>140</v>
      </c>
      <c r="K12" s="81" t="s">
        <v>141</v>
      </c>
      <c r="L12" s="37">
        <v>46034</v>
      </c>
      <c r="M12" s="73">
        <v>0.14861111111111111</v>
      </c>
      <c r="N12" s="37">
        <v>46034</v>
      </c>
      <c r="O12" s="74">
        <v>0.24583333333333332</v>
      </c>
      <c r="P12" s="37">
        <v>46034</v>
      </c>
      <c r="Q12" s="74">
        <v>0.90902777777777777</v>
      </c>
      <c r="R12" s="37">
        <v>46034</v>
      </c>
      <c r="S12" s="74">
        <v>0.95138888888888884</v>
      </c>
      <c r="T12" s="73">
        <f>O12+(D12/24)</f>
        <v>0.90902777777777777</v>
      </c>
      <c r="U12" s="19">
        <v>0</v>
      </c>
      <c r="V12" s="19">
        <v>1</v>
      </c>
      <c r="W12" s="19">
        <v>0</v>
      </c>
      <c r="X12" s="19" t="s">
        <v>129</v>
      </c>
      <c r="Y12" s="72" t="s">
        <v>159</v>
      </c>
    </row>
    <row r="13" spans="1:25" s="16" customFormat="1" ht="15">
      <c r="A13" s="16">
        <v>60</v>
      </c>
      <c r="B13" s="16">
        <v>3</v>
      </c>
      <c r="C13" s="16">
        <f t="shared" si="0"/>
        <v>120</v>
      </c>
      <c r="D13" s="16">
        <f t="shared" si="1"/>
        <v>0.66666666666666663</v>
      </c>
      <c r="E13" s="79" t="s">
        <v>155</v>
      </c>
      <c r="F13" s="60">
        <v>581</v>
      </c>
      <c r="G13" s="17" t="s">
        <v>160</v>
      </c>
      <c r="H13" s="17"/>
      <c r="I13" s="12" t="s">
        <v>158</v>
      </c>
      <c r="J13" s="71" t="s">
        <v>140</v>
      </c>
      <c r="K13" s="71" t="s">
        <v>141</v>
      </c>
      <c r="L13" s="80">
        <v>46034</v>
      </c>
      <c r="M13" s="33">
        <v>0.97569444444444442</v>
      </c>
      <c r="N13" s="80">
        <v>46035</v>
      </c>
      <c r="O13" s="18">
        <v>8.819444444444445E-2</v>
      </c>
      <c r="P13" s="80">
        <v>46035</v>
      </c>
      <c r="Q13" s="18">
        <v>0.60416666666666663</v>
      </c>
      <c r="R13" s="80">
        <v>46035</v>
      </c>
      <c r="S13" s="18">
        <v>0.64236111111111116</v>
      </c>
      <c r="T13" s="33">
        <f t="shared" si="2"/>
        <v>0.11597222222222223</v>
      </c>
      <c r="U13" s="12">
        <v>0</v>
      </c>
      <c r="V13" s="12">
        <v>2</v>
      </c>
      <c r="W13" s="12">
        <v>1</v>
      </c>
      <c r="X13" s="19" t="s">
        <v>129</v>
      </c>
      <c r="Y13" s="17"/>
    </row>
    <row r="14" spans="1:25" s="16" customFormat="1" ht="15">
      <c r="A14" s="16">
        <v>60</v>
      </c>
      <c r="B14" s="16">
        <v>3</v>
      </c>
      <c r="C14" s="16">
        <f>H15+120</f>
        <v>1620</v>
      </c>
      <c r="D14" s="16">
        <f t="shared" si="1"/>
        <v>9</v>
      </c>
      <c r="E14" s="79" t="s">
        <v>155</v>
      </c>
      <c r="F14" s="60">
        <v>582</v>
      </c>
      <c r="G14" s="17" t="s">
        <v>163</v>
      </c>
      <c r="H14" s="17">
        <f>735+705+339</f>
        <v>1779</v>
      </c>
      <c r="I14" s="12" t="s">
        <v>158</v>
      </c>
      <c r="J14" s="12" t="s">
        <v>21</v>
      </c>
      <c r="K14" s="12">
        <v>37</v>
      </c>
      <c r="L14" s="80">
        <v>46035</v>
      </c>
      <c r="M14" s="33">
        <v>0.69791666666666663</v>
      </c>
      <c r="N14" s="80">
        <v>46035</v>
      </c>
      <c r="O14" s="18">
        <v>0.84513888888888888</v>
      </c>
      <c r="P14" s="80">
        <v>46036</v>
      </c>
      <c r="Q14" s="18">
        <v>0.24652777777777779</v>
      </c>
      <c r="R14" s="80">
        <v>46036</v>
      </c>
      <c r="S14" s="18">
        <v>0.28888888888888886</v>
      </c>
      <c r="T14" s="73">
        <f>O14+(D14/24)</f>
        <v>1.2201388888888889</v>
      </c>
      <c r="U14" s="12">
        <v>0</v>
      </c>
      <c r="V14" s="12">
        <v>0</v>
      </c>
      <c r="W14" s="12">
        <v>0</v>
      </c>
      <c r="X14" s="19" t="s">
        <v>129</v>
      </c>
      <c r="Y14" s="17"/>
    </row>
    <row r="15" spans="1:25" s="16" customFormat="1" ht="15">
      <c r="A15" s="16">
        <v>60</v>
      </c>
      <c r="B15" s="16">
        <v>3</v>
      </c>
      <c r="C15" s="16">
        <f>H16+120</f>
        <v>1560</v>
      </c>
      <c r="D15" s="16">
        <f t="shared" si="1"/>
        <v>8.6666666666666661</v>
      </c>
      <c r="E15" s="79" t="s">
        <v>155</v>
      </c>
      <c r="F15" s="60">
        <v>583</v>
      </c>
      <c r="G15" s="17" t="s">
        <v>161</v>
      </c>
      <c r="H15" s="17">
        <v>1500</v>
      </c>
      <c r="I15" s="12" t="s">
        <v>162</v>
      </c>
      <c r="J15" s="12" t="s">
        <v>21</v>
      </c>
      <c r="K15" s="12">
        <v>37</v>
      </c>
      <c r="L15" s="80">
        <v>46036</v>
      </c>
      <c r="M15" s="33">
        <v>0.64236111111111116</v>
      </c>
      <c r="N15" s="80">
        <v>46036</v>
      </c>
      <c r="O15" s="18">
        <v>0.87361111111111112</v>
      </c>
      <c r="P15" s="80">
        <v>46037</v>
      </c>
      <c r="Q15" s="18">
        <v>0.25486111111111109</v>
      </c>
      <c r="R15" s="80">
        <v>46037</v>
      </c>
      <c r="S15" s="18">
        <v>0.29791666666666666</v>
      </c>
      <c r="T15" s="33">
        <f t="shared" si="2"/>
        <v>1.2347222222222223</v>
      </c>
      <c r="U15" s="12">
        <v>0</v>
      </c>
      <c r="V15" s="12">
        <v>0</v>
      </c>
      <c r="W15" s="12">
        <v>0</v>
      </c>
      <c r="X15" s="19" t="s">
        <v>129</v>
      </c>
      <c r="Y15" s="17" t="s">
        <v>164</v>
      </c>
    </row>
    <row r="16" spans="1:25" s="16" customFormat="1" ht="15">
      <c r="A16" s="16">
        <v>60</v>
      </c>
      <c r="B16" s="16">
        <v>3</v>
      </c>
      <c r="C16" s="16">
        <f t="shared" si="0"/>
        <v>1560</v>
      </c>
      <c r="D16" s="16">
        <f t="shared" si="1"/>
        <v>8.6666666666666661</v>
      </c>
      <c r="E16" s="79" t="s">
        <v>155</v>
      </c>
      <c r="F16" s="60">
        <v>584</v>
      </c>
      <c r="G16" s="17" t="s">
        <v>165</v>
      </c>
      <c r="H16" s="17">
        <v>1440</v>
      </c>
      <c r="I16" s="12" t="s">
        <v>166</v>
      </c>
      <c r="J16" s="12" t="s">
        <v>21</v>
      </c>
      <c r="K16" s="12">
        <v>37</v>
      </c>
      <c r="L16" s="80">
        <v>46037</v>
      </c>
      <c r="M16" s="33">
        <v>0.46597222222222223</v>
      </c>
      <c r="N16" s="80">
        <v>46037</v>
      </c>
      <c r="O16" s="18">
        <v>0.59930555555555554</v>
      </c>
      <c r="P16" s="80">
        <v>46037</v>
      </c>
      <c r="Q16" s="18">
        <v>0.93402777777777779</v>
      </c>
      <c r="R16" s="80">
        <v>46037</v>
      </c>
      <c r="S16" s="18">
        <v>0.97083333333333333</v>
      </c>
      <c r="T16" s="73">
        <f t="shared" si="2"/>
        <v>0.9604166666666667</v>
      </c>
      <c r="U16" s="12">
        <v>0</v>
      </c>
      <c r="V16" s="12">
        <v>0</v>
      </c>
      <c r="W16" s="12">
        <v>0</v>
      </c>
      <c r="X16" s="19" t="s">
        <v>129</v>
      </c>
      <c r="Y16" s="17" t="s">
        <v>167</v>
      </c>
    </row>
    <row r="17" spans="1:25" s="16" customFormat="1" ht="15">
      <c r="A17" s="16">
        <v>60</v>
      </c>
      <c r="B17" s="16">
        <v>3</v>
      </c>
      <c r="C17" s="16">
        <f t="shared" si="0"/>
        <v>1573</v>
      </c>
      <c r="D17" s="16">
        <f t="shared" si="1"/>
        <v>8.7388888888888889</v>
      </c>
      <c r="E17" s="60" t="s">
        <v>155</v>
      </c>
      <c r="F17" s="60">
        <v>585</v>
      </c>
      <c r="G17" s="17" t="s">
        <v>168</v>
      </c>
      <c r="H17" s="17">
        <v>1453</v>
      </c>
      <c r="I17" s="12" t="s">
        <v>169</v>
      </c>
      <c r="J17" s="12" t="s">
        <v>21</v>
      </c>
      <c r="K17" s="12">
        <v>37</v>
      </c>
      <c r="L17" s="21">
        <v>46038</v>
      </c>
      <c r="M17" s="33">
        <v>0.53611111111111109</v>
      </c>
      <c r="N17" s="21">
        <v>46038</v>
      </c>
      <c r="O17" s="18">
        <v>0.65347222222222223</v>
      </c>
      <c r="P17" s="21">
        <v>46039</v>
      </c>
      <c r="Q17" s="18">
        <v>1.8055555555555554E-2</v>
      </c>
      <c r="R17" s="21">
        <v>46039</v>
      </c>
      <c r="S17" s="18">
        <v>7.9861111111111105E-2</v>
      </c>
      <c r="T17" s="33">
        <f t="shared" si="2"/>
        <v>1.0175925925925926</v>
      </c>
      <c r="U17" s="12">
        <v>0</v>
      </c>
      <c r="V17" s="12">
        <v>1</v>
      </c>
      <c r="W17" s="12">
        <v>0</v>
      </c>
      <c r="X17" s="84" t="s">
        <v>104</v>
      </c>
      <c r="Y17" s="17" t="s">
        <v>170</v>
      </c>
    </row>
    <row r="18" spans="1:25" s="16" customFormat="1" ht="15">
      <c r="A18" s="16">
        <v>60</v>
      </c>
      <c r="B18" s="16">
        <v>3</v>
      </c>
      <c r="C18" s="16">
        <f t="shared" si="0"/>
        <v>1620</v>
      </c>
      <c r="D18" s="16">
        <f t="shared" si="1"/>
        <v>9</v>
      </c>
      <c r="E18" s="60" t="s">
        <v>155</v>
      </c>
      <c r="F18" s="60">
        <v>586</v>
      </c>
      <c r="G18" s="17" t="s">
        <v>172</v>
      </c>
      <c r="H18" s="17">
        <v>1500</v>
      </c>
      <c r="I18" s="12" t="s">
        <v>173</v>
      </c>
      <c r="J18" s="12" t="s">
        <v>21</v>
      </c>
      <c r="K18" s="12">
        <v>37</v>
      </c>
      <c r="L18" s="21">
        <v>46039</v>
      </c>
      <c r="M18" s="33">
        <v>0.1388888888888889</v>
      </c>
      <c r="N18" s="21">
        <v>46039</v>
      </c>
      <c r="O18" s="18">
        <v>0.25694444444444442</v>
      </c>
      <c r="P18" s="21">
        <v>46039</v>
      </c>
      <c r="Q18" s="18">
        <v>0.63263888888888886</v>
      </c>
      <c r="R18" s="21">
        <v>46039</v>
      </c>
      <c r="S18" s="18">
        <v>0.66736111111111107</v>
      </c>
      <c r="T18" s="33">
        <f t="shared" si="2"/>
        <v>0.63194444444444442</v>
      </c>
      <c r="U18" s="12">
        <v>0</v>
      </c>
      <c r="V18" s="12">
        <v>0</v>
      </c>
      <c r="W18" s="12">
        <v>0</v>
      </c>
      <c r="X18" s="12" t="s">
        <v>104</v>
      </c>
      <c r="Y18" s="17" t="s">
        <v>171</v>
      </c>
    </row>
    <row r="19" spans="1:25" s="16" customFormat="1" ht="15">
      <c r="A19" s="16">
        <v>60</v>
      </c>
      <c r="B19" s="16">
        <v>3</v>
      </c>
      <c r="C19" s="16">
        <f t="shared" si="0"/>
        <v>1518</v>
      </c>
      <c r="D19" s="16">
        <f t="shared" si="1"/>
        <v>8.4333333333333336</v>
      </c>
      <c r="E19" s="60" t="s">
        <v>155</v>
      </c>
      <c r="F19" s="60">
        <v>587</v>
      </c>
      <c r="G19" s="17" t="s">
        <v>177</v>
      </c>
      <c r="H19" s="17">
        <v>1398</v>
      </c>
      <c r="I19" s="12" t="s">
        <v>139</v>
      </c>
      <c r="J19" s="71" t="s">
        <v>179</v>
      </c>
      <c r="K19" s="71">
        <v>33</v>
      </c>
      <c r="L19" s="21">
        <v>46039</v>
      </c>
      <c r="M19" s="33">
        <v>0.69236111111111109</v>
      </c>
      <c r="N19" s="21">
        <v>46039</v>
      </c>
      <c r="O19" s="18">
        <v>0.80555555555555547</v>
      </c>
      <c r="P19" s="21">
        <v>46040</v>
      </c>
      <c r="Q19" s="18">
        <v>0.15694444444444444</v>
      </c>
      <c r="R19" s="21">
        <v>46040</v>
      </c>
      <c r="S19" s="18">
        <v>0.19166666666666665</v>
      </c>
      <c r="T19" s="33">
        <f t="shared" si="2"/>
        <v>1.1569444444444443</v>
      </c>
      <c r="U19" s="12">
        <v>0</v>
      </c>
      <c r="V19" s="12">
        <v>1</v>
      </c>
      <c r="W19" s="12">
        <v>0</v>
      </c>
      <c r="X19" s="12" t="s">
        <v>104</v>
      </c>
      <c r="Y19" s="17" t="s">
        <v>174</v>
      </c>
    </row>
    <row r="20" spans="1:25" s="16" customFormat="1" ht="15.75" thickBot="1">
      <c r="A20" s="16">
        <v>60</v>
      </c>
      <c r="B20" s="16">
        <v>3</v>
      </c>
      <c r="C20" s="16">
        <f t="shared" si="0"/>
        <v>2204</v>
      </c>
      <c r="D20" s="16">
        <f t="shared" si="1"/>
        <v>12.244444444444444</v>
      </c>
      <c r="E20" s="75" t="s">
        <v>155</v>
      </c>
      <c r="F20" s="60">
        <v>588</v>
      </c>
      <c r="G20" s="86" t="s">
        <v>178</v>
      </c>
      <c r="H20" s="86">
        <v>2084</v>
      </c>
      <c r="I20" s="77" t="s">
        <v>151</v>
      </c>
      <c r="J20" s="87" t="s">
        <v>140</v>
      </c>
      <c r="K20" s="87" t="s">
        <v>141</v>
      </c>
      <c r="L20" s="45">
        <v>46040</v>
      </c>
      <c r="M20" s="78">
        <v>0.50763888888888886</v>
      </c>
      <c r="N20" s="45">
        <v>46040</v>
      </c>
      <c r="O20" s="46">
        <v>0.59861111111111109</v>
      </c>
      <c r="P20" s="45">
        <v>46041</v>
      </c>
      <c r="Q20" s="46">
        <v>0.11527777777777778</v>
      </c>
      <c r="R20" s="45">
        <v>46041</v>
      </c>
      <c r="S20" s="91">
        <v>0.14444444444444443</v>
      </c>
      <c r="T20" s="88">
        <f t="shared" si="2"/>
        <v>1.1087962962962963</v>
      </c>
      <c r="U20" s="89">
        <v>0</v>
      </c>
      <c r="V20" s="89">
        <v>0</v>
      </c>
      <c r="W20" s="89">
        <v>0</v>
      </c>
      <c r="X20" s="89" t="s">
        <v>104</v>
      </c>
      <c r="Y20" s="86" t="s">
        <v>180</v>
      </c>
    </row>
    <row r="21" spans="1:25" s="16" customFormat="1" ht="15">
      <c r="A21" s="16">
        <v>60</v>
      </c>
      <c r="B21" s="16">
        <v>3</v>
      </c>
      <c r="C21" s="16">
        <f t="shared" si="0"/>
        <v>618</v>
      </c>
      <c r="D21" s="16">
        <f t="shared" si="1"/>
        <v>3.4333333333333331</v>
      </c>
      <c r="E21" s="79" t="s">
        <v>175</v>
      </c>
      <c r="F21" s="60">
        <v>589</v>
      </c>
      <c r="G21" s="72" t="s">
        <v>181</v>
      </c>
      <c r="H21" s="72">
        <f>235+263</f>
        <v>498</v>
      </c>
      <c r="I21" s="19"/>
      <c r="J21" s="12" t="s">
        <v>21</v>
      </c>
      <c r="K21" s="12">
        <v>37</v>
      </c>
      <c r="L21" s="37">
        <v>46041</v>
      </c>
      <c r="M21" s="73">
        <v>0.20347222222222222</v>
      </c>
      <c r="N21" s="37">
        <v>46041</v>
      </c>
      <c r="O21" s="74">
        <v>0.38472222222222224</v>
      </c>
      <c r="P21" s="37">
        <v>46041</v>
      </c>
      <c r="Q21" s="74">
        <v>0.87986111111111109</v>
      </c>
      <c r="R21" s="37">
        <v>46041</v>
      </c>
      <c r="S21" s="74">
        <v>0.93194444444444446</v>
      </c>
      <c r="T21" s="73">
        <f t="shared" si="2"/>
        <v>0.52777777777777779</v>
      </c>
      <c r="U21" s="19">
        <v>0</v>
      </c>
      <c r="V21" s="19">
        <v>0</v>
      </c>
      <c r="W21" s="19">
        <v>0</v>
      </c>
      <c r="X21" s="19" t="s">
        <v>104</v>
      </c>
      <c r="Y21" s="161" t="s">
        <v>186</v>
      </c>
    </row>
    <row r="22" spans="1:25" s="16" customFormat="1" ht="15">
      <c r="A22" s="16">
        <v>60</v>
      </c>
      <c r="B22" s="16">
        <v>3</v>
      </c>
      <c r="C22" s="16">
        <f t="shared" si="0"/>
        <v>1802</v>
      </c>
      <c r="D22" s="16">
        <f t="shared" si="1"/>
        <v>10.011111111111111</v>
      </c>
      <c r="E22" s="79" t="s">
        <v>175</v>
      </c>
      <c r="F22" s="60">
        <v>590</v>
      </c>
      <c r="G22" s="17" t="s">
        <v>182</v>
      </c>
      <c r="H22" s="17">
        <f>786+896</f>
        <v>1682</v>
      </c>
      <c r="I22" s="12" t="s">
        <v>185</v>
      </c>
      <c r="J22" s="12" t="s">
        <v>21</v>
      </c>
      <c r="K22" s="12">
        <v>37</v>
      </c>
      <c r="L22" s="80">
        <v>46041</v>
      </c>
      <c r="M22" s="33">
        <v>0.99305555555555558</v>
      </c>
      <c r="N22" s="80">
        <v>46042</v>
      </c>
      <c r="O22" s="18">
        <v>0.13958333333333334</v>
      </c>
      <c r="P22" s="80">
        <v>46042</v>
      </c>
      <c r="Q22" s="18">
        <v>0.55833333333333335</v>
      </c>
      <c r="R22" s="80">
        <v>46042</v>
      </c>
      <c r="S22" s="18">
        <v>0.59027777777777779</v>
      </c>
      <c r="T22" s="33">
        <f t="shared" si="2"/>
        <v>0.55671296296296302</v>
      </c>
      <c r="U22" s="12">
        <v>0</v>
      </c>
      <c r="V22" s="12">
        <v>1</v>
      </c>
      <c r="W22" s="12">
        <v>0</v>
      </c>
      <c r="X22" s="12" t="s">
        <v>104</v>
      </c>
      <c r="Y22" s="17"/>
    </row>
    <row r="23" spans="1:25" s="16" customFormat="1" ht="28.5">
      <c r="A23" s="16">
        <v>60</v>
      </c>
      <c r="B23" s="16">
        <v>3</v>
      </c>
      <c r="C23" s="16">
        <f t="shared" si="0"/>
        <v>1737</v>
      </c>
      <c r="D23" s="16">
        <f t="shared" si="1"/>
        <v>9.65</v>
      </c>
      <c r="E23" s="79" t="s">
        <v>175</v>
      </c>
      <c r="F23" s="60">
        <v>591</v>
      </c>
      <c r="G23" s="17" t="s">
        <v>183</v>
      </c>
      <c r="H23" s="17">
        <v>1617</v>
      </c>
      <c r="I23" s="12" t="s">
        <v>158</v>
      </c>
      <c r="J23" s="12" t="s">
        <v>21</v>
      </c>
      <c r="K23" s="12">
        <v>37</v>
      </c>
      <c r="L23" s="80">
        <v>46042</v>
      </c>
      <c r="M23" s="33">
        <v>0.81666666666666665</v>
      </c>
      <c r="N23" s="80">
        <v>46042</v>
      </c>
      <c r="O23" s="18">
        <v>0.94930555555555551</v>
      </c>
      <c r="P23" s="80">
        <v>46043</v>
      </c>
      <c r="Q23" s="18">
        <v>0.35138888888888892</v>
      </c>
      <c r="R23" s="80">
        <v>46043</v>
      </c>
      <c r="S23" s="18">
        <v>0.3840277777777778</v>
      </c>
      <c r="T23" s="33">
        <f t="shared" si="2"/>
        <v>1.3513888888888888</v>
      </c>
      <c r="U23" s="12">
        <v>0</v>
      </c>
      <c r="V23" s="12">
        <v>0</v>
      </c>
      <c r="W23" s="12">
        <v>1</v>
      </c>
      <c r="X23" s="12" t="s">
        <v>104</v>
      </c>
      <c r="Y23" s="17" t="s">
        <v>184</v>
      </c>
    </row>
    <row r="24" spans="1:25" s="16" customFormat="1" ht="15">
      <c r="A24" s="16">
        <v>60</v>
      </c>
      <c r="B24" s="16">
        <v>3</v>
      </c>
      <c r="C24" s="16">
        <f t="shared" si="0"/>
        <v>1833</v>
      </c>
      <c r="D24" s="16">
        <f t="shared" si="1"/>
        <v>10.183333333333334</v>
      </c>
      <c r="E24" s="79" t="s">
        <v>175</v>
      </c>
      <c r="F24" s="60">
        <v>592</v>
      </c>
      <c r="G24" s="17" t="s">
        <v>350</v>
      </c>
      <c r="H24" s="17">
        <v>1713</v>
      </c>
      <c r="I24" s="12" t="s">
        <v>158</v>
      </c>
      <c r="J24" s="12" t="s">
        <v>21</v>
      </c>
      <c r="K24" s="12">
        <v>37</v>
      </c>
      <c r="L24" s="80">
        <v>46043</v>
      </c>
      <c r="M24" s="33">
        <v>0.53194444444444444</v>
      </c>
      <c r="N24" s="80">
        <v>46043</v>
      </c>
      <c r="O24" s="18">
        <v>0.65347222222222223</v>
      </c>
      <c r="P24" s="80">
        <v>46044</v>
      </c>
      <c r="Q24" s="18">
        <v>7.7777777777777779E-2</v>
      </c>
      <c r="R24" s="80">
        <v>46044</v>
      </c>
      <c r="S24" s="18">
        <v>0.13055555555555556</v>
      </c>
      <c r="T24" s="33">
        <f t="shared" si="2"/>
        <v>1.0777777777777777</v>
      </c>
      <c r="U24" s="12">
        <v>0</v>
      </c>
      <c r="V24" s="12">
        <v>1</v>
      </c>
      <c r="W24" s="12">
        <v>0</v>
      </c>
      <c r="X24" s="12" t="s">
        <v>104</v>
      </c>
      <c r="Y24" s="17" t="s">
        <v>188</v>
      </c>
    </row>
    <row r="25" spans="1:25" s="16" customFormat="1" ht="15">
      <c r="A25" s="16">
        <v>60</v>
      </c>
      <c r="B25" s="16">
        <v>3</v>
      </c>
      <c r="C25" s="16">
        <f t="shared" si="0"/>
        <v>2248</v>
      </c>
      <c r="D25" s="16">
        <f t="shared" si="1"/>
        <v>12.488888888888889</v>
      </c>
      <c r="E25" s="79" t="s">
        <v>175</v>
      </c>
      <c r="F25" s="60">
        <v>593</v>
      </c>
      <c r="G25" s="17" t="s">
        <v>190</v>
      </c>
      <c r="H25" s="17">
        <f>1378+750</f>
        <v>2128</v>
      </c>
      <c r="I25" s="12" t="s">
        <v>191</v>
      </c>
      <c r="J25" s="93" t="s">
        <v>140</v>
      </c>
      <c r="K25" s="93" t="s">
        <v>141</v>
      </c>
      <c r="L25" s="80">
        <v>46044</v>
      </c>
      <c r="M25" s="33">
        <v>0.21458333333333332</v>
      </c>
      <c r="N25" s="80">
        <v>46044</v>
      </c>
      <c r="O25" s="18">
        <v>0.34305555555555556</v>
      </c>
      <c r="P25" s="80">
        <v>46044</v>
      </c>
      <c r="Q25" s="18">
        <v>0.86805555555555558</v>
      </c>
      <c r="R25" s="80">
        <v>46044</v>
      </c>
      <c r="S25" s="18">
        <v>0.94097222222222221</v>
      </c>
      <c r="T25" s="33">
        <f t="shared" si="2"/>
        <v>0.86342592592592593</v>
      </c>
      <c r="U25" s="12">
        <v>0</v>
      </c>
      <c r="V25" s="12">
        <v>5</v>
      </c>
      <c r="W25" s="12">
        <v>0</v>
      </c>
      <c r="X25" s="12" t="s">
        <v>104</v>
      </c>
      <c r="Y25" s="17" t="s">
        <v>189</v>
      </c>
    </row>
    <row r="26" spans="1:25" s="16" customFormat="1" ht="28.5">
      <c r="A26" s="16">
        <v>60</v>
      </c>
      <c r="B26" s="16">
        <v>3</v>
      </c>
      <c r="C26" s="16">
        <f t="shared" si="0"/>
        <v>120</v>
      </c>
      <c r="D26" s="16">
        <f t="shared" si="1"/>
        <v>0.66666666666666663</v>
      </c>
      <c r="E26" s="60" t="s">
        <v>175</v>
      </c>
      <c r="F26" s="60">
        <v>594</v>
      </c>
      <c r="G26" s="17" t="s">
        <v>193</v>
      </c>
      <c r="H26" s="17"/>
      <c r="I26" s="12" t="s">
        <v>194</v>
      </c>
      <c r="J26" s="12" t="s">
        <v>21</v>
      </c>
      <c r="K26" s="12">
        <v>37</v>
      </c>
      <c r="L26" s="21">
        <v>46045</v>
      </c>
      <c r="M26" s="33">
        <v>0.22222222222222221</v>
      </c>
      <c r="N26" s="21">
        <v>46045</v>
      </c>
      <c r="O26" s="18">
        <v>0.27152777777777776</v>
      </c>
      <c r="P26" s="21">
        <v>46046</v>
      </c>
      <c r="Q26" s="18">
        <v>6.9444444444444448E-2</v>
      </c>
      <c r="R26" s="21">
        <v>46046</v>
      </c>
      <c r="S26" s="18">
        <v>0.1125</v>
      </c>
      <c r="T26" s="33">
        <f t="shared" si="2"/>
        <v>0.29930555555555555</v>
      </c>
      <c r="U26" s="12">
        <v>0</v>
      </c>
      <c r="V26" s="12">
        <v>1</v>
      </c>
      <c r="W26" s="12">
        <v>0</v>
      </c>
      <c r="X26" s="12" t="s">
        <v>104</v>
      </c>
      <c r="Y26" s="17" t="s">
        <v>192</v>
      </c>
    </row>
    <row r="27" spans="1:25" s="16" customFormat="1" ht="15">
      <c r="A27" s="16">
        <v>60</v>
      </c>
      <c r="B27" s="16">
        <v>3</v>
      </c>
      <c r="C27" s="16">
        <f t="shared" si="0"/>
        <v>2337</v>
      </c>
      <c r="D27" s="16">
        <f t="shared" si="1"/>
        <v>12.983333333333333</v>
      </c>
      <c r="E27" s="79" t="s">
        <v>175</v>
      </c>
      <c r="F27" s="60">
        <v>595</v>
      </c>
      <c r="G27" s="17" t="s">
        <v>195</v>
      </c>
      <c r="H27" s="17">
        <v>2217</v>
      </c>
      <c r="I27" s="12" t="s">
        <v>196</v>
      </c>
      <c r="J27" s="93" t="s">
        <v>140</v>
      </c>
      <c r="K27" s="93" t="s">
        <v>141</v>
      </c>
      <c r="L27" s="21">
        <v>46046</v>
      </c>
      <c r="M27" s="33">
        <v>0.20347222222222222</v>
      </c>
      <c r="N27" s="21">
        <v>46046</v>
      </c>
      <c r="O27" s="18">
        <v>0.34375</v>
      </c>
      <c r="P27" s="21">
        <v>46046</v>
      </c>
      <c r="Q27" s="18">
        <v>0.88541666666666663</v>
      </c>
      <c r="R27" s="21">
        <v>46046</v>
      </c>
      <c r="S27" s="18">
        <v>0.92361111111111116</v>
      </c>
      <c r="T27" s="33">
        <f t="shared" si="2"/>
        <v>0.88472222222222219</v>
      </c>
      <c r="U27" s="12">
        <v>0</v>
      </c>
      <c r="V27" s="12">
        <v>1</v>
      </c>
      <c r="W27" s="12">
        <v>0</v>
      </c>
      <c r="X27" s="12" t="s">
        <v>104</v>
      </c>
      <c r="Y27" s="17" t="s">
        <v>197</v>
      </c>
    </row>
    <row r="28" spans="1:25" s="16" customFormat="1" ht="15.75" thickBot="1">
      <c r="A28" s="16">
        <v>60</v>
      </c>
      <c r="B28" s="16">
        <v>3</v>
      </c>
      <c r="C28" s="16">
        <f t="shared" si="0"/>
        <v>1646</v>
      </c>
      <c r="D28" s="16">
        <f t="shared" si="1"/>
        <v>9.1444444444444439</v>
      </c>
      <c r="E28" s="75" t="s">
        <v>175</v>
      </c>
      <c r="F28" s="60">
        <v>596</v>
      </c>
      <c r="G28" s="76" t="s">
        <v>200</v>
      </c>
      <c r="H28" s="76">
        <v>1526</v>
      </c>
      <c r="I28" s="77" t="s">
        <v>201</v>
      </c>
      <c r="J28" s="77" t="s">
        <v>21</v>
      </c>
      <c r="K28" s="77">
        <v>37</v>
      </c>
      <c r="L28" s="45">
        <v>46046</v>
      </c>
      <c r="M28" s="78">
        <v>0.97777777777777775</v>
      </c>
      <c r="N28" s="45">
        <v>46047</v>
      </c>
      <c r="O28" s="46">
        <v>0.13333333333333333</v>
      </c>
      <c r="P28" s="45">
        <v>46047</v>
      </c>
      <c r="Q28" s="46">
        <v>0.51458333333333328</v>
      </c>
      <c r="R28" s="45">
        <v>46047</v>
      </c>
      <c r="S28" s="46">
        <v>0.55277777777777781</v>
      </c>
      <c r="T28" s="78">
        <f t="shared" si="2"/>
        <v>0.51435185185185184</v>
      </c>
      <c r="U28" s="77">
        <v>0</v>
      </c>
      <c r="V28" s="77">
        <v>0</v>
      </c>
      <c r="W28" s="77">
        <v>0</v>
      </c>
      <c r="X28" s="77" t="s">
        <v>104</v>
      </c>
      <c r="Y28" s="76"/>
    </row>
    <row r="29" spans="1:25" s="16" customFormat="1" ht="15">
      <c r="A29" s="16">
        <v>60</v>
      </c>
      <c r="B29" s="16">
        <v>3</v>
      </c>
      <c r="C29" s="16">
        <f t="shared" si="0"/>
        <v>1517</v>
      </c>
      <c r="D29" s="16">
        <f t="shared" si="1"/>
        <v>8.4277777777777789</v>
      </c>
      <c r="E29" s="79" t="s">
        <v>198</v>
      </c>
      <c r="F29" s="60">
        <v>597</v>
      </c>
      <c r="G29" s="72" t="s">
        <v>202</v>
      </c>
      <c r="H29" s="72">
        <v>1397</v>
      </c>
      <c r="I29" s="19" t="s">
        <v>191</v>
      </c>
      <c r="J29" s="93" t="s">
        <v>140</v>
      </c>
      <c r="K29" s="93" t="s">
        <v>141</v>
      </c>
      <c r="L29" s="80">
        <v>46047</v>
      </c>
      <c r="M29" s="73">
        <v>0.59652777777777777</v>
      </c>
      <c r="N29" s="80">
        <v>46047</v>
      </c>
      <c r="O29" s="74">
        <v>0.70833333333333337</v>
      </c>
      <c r="P29" s="80">
        <v>46048</v>
      </c>
      <c r="Q29" s="74">
        <v>0.12777777777777777</v>
      </c>
      <c r="R29" s="80">
        <v>46048</v>
      </c>
      <c r="S29" s="74">
        <v>0.17222222222222222</v>
      </c>
      <c r="T29" s="73">
        <f t="shared" si="2"/>
        <v>1.0594907407407408</v>
      </c>
      <c r="U29" s="19">
        <v>0</v>
      </c>
      <c r="V29" s="19">
        <v>0</v>
      </c>
      <c r="W29" s="19">
        <v>0</v>
      </c>
      <c r="X29" s="19" t="s">
        <v>104</v>
      </c>
      <c r="Y29" s="72"/>
    </row>
    <row r="30" spans="1:25" s="16" customFormat="1" ht="15">
      <c r="A30" s="16">
        <v>60</v>
      </c>
      <c r="B30" s="16">
        <v>3</v>
      </c>
      <c r="C30" s="16">
        <f t="shared" si="0"/>
        <v>1648</v>
      </c>
      <c r="D30" s="16">
        <f t="shared" si="1"/>
        <v>9.1555555555555568</v>
      </c>
      <c r="E30" s="60" t="s">
        <v>198</v>
      </c>
      <c r="F30" s="60">
        <v>598</v>
      </c>
      <c r="G30" s="17" t="s">
        <v>203</v>
      </c>
      <c r="H30" s="17">
        <f>848+680</f>
        <v>1528</v>
      </c>
      <c r="I30" s="12" t="s">
        <v>201</v>
      </c>
      <c r="J30" s="12" t="s">
        <v>21</v>
      </c>
      <c r="K30" s="12">
        <v>37</v>
      </c>
      <c r="L30" s="21">
        <v>46048</v>
      </c>
      <c r="M30" s="33">
        <v>0.32083333333333336</v>
      </c>
      <c r="N30" s="21">
        <v>46048</v>
      </c>
      <c r="O30" s="18">
        <v>0.40069444444444446</v>
      </c>
      <c r="P30" s="21">
        <v>46048</v>
      </c>
      <c r="Q30" s="18">
        <v>0.78333333333333333</v>
      </c>
      <c r="R30" s="21">
        <v>46048</v>
      </c>
      <c r="S30" s="18">
        <v>0.84027777777777779</v>
      </c>
      <c r="T30" s="33">
        <f t="shared" si="2"/>
        <v>0.782175925925926</v>
      </c>
      <c r="U30" s="12">
        <v>0</v>
      </c>
      <c r="V30" s="12">
        <v>0</v>
      </c>
      <c r="W30" s="12">
        <v>0</v>
      </c>
      <c r="X30" s="12" t="s">
        <v>104</v>
      </c>
      <c r="Y30" s="17"/>
    </row>
    <row r="31" spans="1:25" s="16" customFormat="1" ht="15">
      <c r="A31" s="16">
        <v>60</v>
      </c>
      <c r="B31" s="16">
        <v>3</v>
      </c>
      <c r="C31" s="16">
        <f t="shared" si="0"/>
        <v>344</v>
      </c>
      <c r="D31" s="16">
        <f t="shared" si="1"/>
        <v>1.9111111111111112</v>
      </c>
      <c r="E31" s="13" t="s">
        <v>198</v>
      </c>
      <c r="F31" s="60">
        <v>599</v>
      </c>
      <c r="G31" s="55" t="s">
        <v>204</v>
      </c>
      <c r="H31" s="55">
        <v>224</v>
      </c>
      <c r="I31" s="49" t="s">
        <v>205</v>
      </c>
      <c r="J31" s="49" t="s">
        <v>21</v>
      </c>
      <c r="K31" s="49">
        <v>37</v>
      </c>
      <c r="L31" s="94">
        <v>46049</v>
      </c>
      <c r="M31" s="95">
        <v>6.9444444444444448E-2</v>
      </c>
      <c r="N31" s="94">
        <v>46049</v>
      </c>
      <c r="O31" s="96">
        <v>0.14374999999999999</v>
      </c>
      <c r="P31" s="94">
        <v>46049</v>
      </c>
      <c r="Q31" s="96">
        <v>0.34375</v>
      </c>
      <c r="R31" s="94">
        <v>46049</v>
      </c>
      <c r="S31" s="96">
        <v>0.3576388888888889</v>
      </c>
      <c r="T31" s="95">
        <f t="shared" si="2"/>
        <v>0.22337962962962962</v>
      </c>
      <c r="U31" s="49">
        <v>0</v>
      </c>
      <c r="V31" s="49">
        <v>0</v>
      </c>
      <c r="W31" s="49">
        <v>0</v>
      </c>
      <c r="X31" s="49" t="s">
        <v>104</v>
      </c>
      <c r="Y31" s="157" t="s">
        <v>206</v>
      </c>
    </row>
    <row r="32" spans="1:25" s="16" customFormat="1" ht="43.5">
      <c r="A32" s="16">
        <v>60</v>
      </c>
      <c r="B32" s="16">
        <v>3</v>
      </c>
      <c r="C32" s="16">
        <f t="shared" si="0"/>
        <v>2016</v>
      </c>
      <c r="D32" s="16">
        <f t="shared" si="1"/>
        <v>11.2</v>
      </c>
      <c r="E32" s="60" t="s">
        <v>198</v>
      </c>
      <c r="F32" s="60">
        <v>600</v>
      </c>
      <c r="G32" s="17" t="s">
        <v>207</v>
      </c>
      <c r="H32" s="17">
        <v>1896</v>
      </c>
      <c r="I32" s="12" t="s">
        <v>139</v>
      </c>
      <c r="J32" s="93" t="s">
        <v>140</v>
      </c>
      <c r="K32" s="93" t="s">
        <v>141</v>
      </c>
      <c r="L32" s="21">
        <v>46050</v>
      </c>
      <c r="M32" s="33">
        <v>0.625</v>
      </c>
      <c r="N32" s="21">
        <v>46050</v>
      </c>
      <c r="O32" s="96"/>
      <c r="P32" s="94"/>
      <c r="Q32" s="96"/>
      <c r="R32" s="99"/>
      <c r="S32" s="96"/>
      <c r="T32" s="33">
        <f t="shared" si="2"/>
        <v>0.46666666666666662</v>
      </c>
      <c r="U32" s="12">
        <v>0</v>
      </c>
      <c r="V32" s="12">
        <v>0</v>
      </c>
      <c r="W32" s="12">
        <v>0</v>
      </c>
      <c r="X32" s="97" t="s">
        <v>93</v>
      </c>
      <c r="Y32" s="98" t="s">
        <v>209</v>
      </c>
    </row>
    <row r="33" spans="1:25" s="16" customFormat="1" ht="15">
      <c r="A33" s="16">
        <v>60</v>
      </c>
      <c r="B33" s="16">
        <v>3</v>
      </c>
      <c r="C33" s="16">
        <f t="shared" si="0"/>
        <v>2016</v>
      </c>
      <c r="D33" s="16">
        <f t="shared" si="1"/>
        <v>11.2</v>
      </c>
      <c r="E33" s="60" t="s">
        <v>198</v>
      </c>
      <c r="F33" s="60">
        <v>601</v>
      </c>
      <c r="G33" s="17" t="s">
        <v>208</v>
      </c>
      <c r="H33" s="17">
        <f>1396+500</f>
        <v>1896</v>
      </c>
      <c r="I33" s="12"/>
      <c r="J33" s="20"/>
      <c r="K33" s="12"/>
      <c r="L33" s="21">
        <v>46050</v>
      </c>
      <c r="M33" s="33">
        <v>0.79166666666666663</v>
      </c>
      <c r="N33" s="21">
        <v>46050</v>
      </c>
      <c r="O33" s="18">
        <v>0.89861111111111114</v>
      </c>
      <c r="P33" s="21">
        <v>46051</v>
      </c>
      <c r="Q33" s="18">
        <v>0.45833333333333331</v>
      </c>
      <c r="R33" s="21">
        <v>46051</v>
      </c>
      <c r="S33" s="18">
        <v>0.50902777777777775</v>
      </c>
      <c r="T33" s="33">
        <f t="shared" si="2"/>
        <v>1.3652777777777778</v>
      </c>
      <c r="U33" s="12">
        <v>0</v>
      </c>
      <c r="V33" s="12">
        <v>0</v>
      </c>
      <c r="W33" s="12">
        <v>0</v>
      </c>
      <c r="X33" s="97" t="s">
        <v>93</v>
      </c>
      <c r="Y33" s="17" t="s">
        <v>212</v>
      </c>
    </row>
    <row r="34" spans="1:25" s="16" customFormat="1" ht="30">
      <c r="A34" s="16">
        <v>60</v>
      </c>
      <c r="B34" s="16">
        <v>3</v>
      </c>
      <c r="C34" s="16">
        <f t="shared" si="0"/>
        <v>2410</v>
      </c>
      <c r="D34" s="16">
        <f t="shared" si="1"/>
        <v>13.388888888888889</v>
      </c>
      <c r="E34" s="60" t="s">
        <v>198</v>
      </c>
      <c r="F34" s="60">
        <v>602</v>
      </c>
      <c r="G34" s="17" t="s">
        <v>210</v>
      </c>
      <c r="H34" s="17">
        <f>896+1394</f>
        <v>2290</v>
      </c>
      <c r="I34" s="12"/>
      <c r="J34" s="20"/>
      <c r="K34" s="12"/>
      <c r="L34" s="21">
        <v>46052</v>
      </c>
      <c r="M34" s="33">
        <v>0.52986111111111112</v>
      </c>
      <c r="N34" s="21">
        <v>46052</v>
      </c>
      <c r="O34" s="18">
        <v>0.69236111111111109</v>
      </c>
      <c r="P34" s="21">
        <v>46053</v>
      </c>
      <c r="Q34" s="18">
        <v>0.25069444444444444</v>
      </c>
      <c r="R34" s="21">
        <v>46053</v>
      </c>
      <c r="S34" s="18">
        <v>0.2902777777777778</v>
      </c>
      <c r="T34" s="33">
        <f t="shared" si="2"/>
        <v>1.2502314814814814</v>
      </c>
      <c r="U34" s="12">
        <v>0</v>
      </c>
      <c r="V34" s="12">
        <v>0</v>
      </c>
      <c r="W34" s="12">
        <v>0</v>
      </c>
      <c r="X34" s="100" t="s">
        <v>129</v>
      </c>
      <c r="Y34" s="98" t="s">
        <v>213</v>
      </c>
    </row>
    <row r="35" spans="1:25" s="16" customFormat="1" ht="15">
      <c r="A35" s="16">
        <v>60</v>
      </c>
      <c r="B35" s="16">
        <v>3</v>
      </c>
      <c r="C35" s="16">
        <f t="shared" si="0"/>
        <v>2116</v>
      </c>
      <c r="D35" s="16">
        <f t="shared" si="1"/>
        <v>11.755555555555556</v>
      </c>
      <c r="E35" s="60" t="s">
        <v>198</v>
      </c>
      <c r="F35" s="60">
        <v>603</v>
      </c>
      <c r="G35" s="17" t="s">
        <v>211</v>
      </c>
      <c r="H35" s="17">
        <f>1396+600</f>
        <v>1996</v>
      </c>
      <c r="I35" s="12" t="s">
        <v>151</v>
      </c>
      <c r="J35" s="93" t="s">
        <v>140</v>
      </c>
      <c r="K35" s="12">
        <v>37</v>
      </c>
      <c r="L35" s="21">
        <v>46053</v>
      </c>
      <c r="M35" s="33">
        <v>0.37986111111111109</v>
      </c>
      <c r="N35" s="21">
        <v>46053</v>
      </c>
      <c r="O35" s="18">
        <v>0.54722222222222228</v>
      </c>
      <c r="P35" s="21">
        <v>46054</v>
      </c>
      <c r="Q35" s="18">
        <v>5.5555555555555552E-2</v>
      </c>
      <c r="R35" s="21">
        <v>46054</v>
      </c>
      <c r="S35" s="18">
        <v>8.4027777777777785E-2</v>
      </c>
      <c r="T35" s="33">
        <f t="shared" si="2"/>
        <v>1.0370370370370372</v>
      </c>
      <c r="U35" s="12">
        <v>0</v>
      </c>
      <c r="V35" s="12">
        <v>0</v>
      </c>
      <c r="W35" s="12">
        <v>0</v>
      </c>
      <c r="X35" s="19" t="s">
        <v>129</v>
      </c>
      <c r="Y35" s="17"/>
    </row>
    <row r="36" spans="1:25" s="16" customFormat="1" ht="15.75" thickBot="1">
      <c r="A36" s="16">
        <v>60</v>
      </c>
      <c r="B36" s="16">
        <v>3</v>
      </c>
      <c r="C36" s="16">
        <f t="shared" si="0"/>
        <v>120</v>
      </c>
      <c r="D36" s="16">
        <f t="shared" si="1"/>
        <v>0.66666666666666663</v>
      </c>
      <c r="E36" s="75" t="s">
        <v>198</v>
      </c>
      <c r="F36" s="60">
        <v>604</v>
      </c>
      <c r="G36" s="76" t="s">
        <v>214</v>
      </c>
      <c r="H36" s="76"/>
      <c r="I36" s="77" t="s">
        <v>215</v>
      </c>
      <c r="J36" s="51"/>
      <c r="K36" s="77"/>
      <c r="L36" s="45">
        <v>46054</v>
      </c>
      <c r="M36" s="78">
        <v>0.13263888888888889</v>
      </c>
      <c r="N36" s="45">
        <v>46054</v>
      </c>
      <c r="O36" s="46">
        <v>0.30555555555555558</v>
      </c>
      <c r="P36" s="45">
        <v>46054</v>
      </c>
      <c r="Q36" s="46">
        <v>0.53680555555555554</v>
      </c>
      <c r="R36" s="45">
        <v>46054</v>
      </c>
      <c r="S36" s="46">
        <v>6.25E-2</v>
      </c>
      <c r="T36" s="78">
        <f t="shared" si="2"/>
        <v>0.33333333333333337</v>
      </c>
      <c r="U36" s="77">
        <v>0</v>
      </c>
      <c r="V36" s="77">
        <v>0</v>
      </c>
      <c r="W36" s="77">
        <v>0</v>
      </c>
      <c r="X36" s="77" t="s">
        <v>129</v>
      </c>
      <c r="Y36" s="76"/>
    </row>
    <row r="37" spans="1:25" s="16" customFormat="1" ht="15">
      <c r="A37" s="16">
        <v>60</v>
      </c>
      <c r="B37" s="16">
        <v>3</v>
      </c>
      <c r="C37" s="16">
        <f t="shared" si="0"/>
        <v>2151</v>
      </c>
      <c r="D37" s="16">
        <f t="shared" si="1"/>
        <v>11.95</v>
      </c>
      <c r="E37" s="79" t="s">
        <v>219</v>
      </c>
      <c r="F37" s="60">
        <v>605</v>
      </c>
      <c r="G37" s="72" t="s">
        <v>216</v>
      </c>
      <c r="H37" s="72">
        <f>1361+670</f>
        <v>2031</v>
      </c>
      <c r="I37" s="19" t="s">
        <v>139</v>
      </c>
      <c r="J37" s="93" t="s">
        <v>140</v>
      </c>
      <c r="K37" s="93" t="s">
        <v>217</v>
      </c>
      <c r="L37" s="80">
        <v>46054</v>
      </c>
      <c r="M37" s="73">
        <v>0.71180555555555558</v>
      </c>
      <c r="N37" s="80">
        <v>46054</v>
      </c>
      <c r="O37" s="74">
        <v>0.84166666666666667</v>
      </c>
      <c r="P37" s="80">
        <v>46055</v>
      </c>
      <c r="Q37" s="74">
        <v>0.33958333333333335</v>
      </c>
      <c r="R37" s="80">
        <v>46055</v>
      </c>
      <c r="S37" s="74">
        <v>0.38333333333333336</v>
      </c>
      <c r="T37" s="73">
        <f t="shared" si="2"/>
        <v>1.3395833333333333</v>
      </c>
      <c r="U37" s="19">
        <v>0</v>
      </c>
      <c r="V37" s="19">
        <v>2</v>
      </c>
      <c r="W37" s="19">
        <v>0</v>
      </c>
      <c r="X37" s="19" t="s">
        <v>129</v>
      </c>
      <c r="Y37" s="72" t="s">
        <v>218</v>
      </c>
    </row>
    <row r="38" spans="1:25" s="16" customFormat="1" ht="15">
      <c r="A38" s="16">
        <v>60</v>
      </c>
      <c r="B38" s="16">
        <v>3</v>
      </c>
      <c r="C38" s="16">
        <f t="shared" si="0"/>
        <v>120</v>
      </c>
      <c r="D38" s="16">
        <f t="shared" si="1"/>
        <v>0.66666666666666663</v>
      </c>
      <c r="E38" s="79" t="s">
        <v>219</v>
      </c>
      <c r="F38" s="60">
        <v>606</v>
      </c>
      <c r="G38" s="17" t="s">
        <v>221</v>
      </c>
      <c r="H38" s="17"/>
      <c r="I38" s="12" t="s">
        <v>222</v>
      </c>
      <c r="J38" s="71" t="s">
        <v>179</v>
      </c>
      <c r="K38" s="12">
        <v>35</v>
      </c>
      <c r="L38" s="80">
        <v>46058</v>
      </c>
      <c r="M38" s="43">
        <v>0.65069444444444446</v>
      </c>
      <c r="N38" s="80">
        <v>46058</v>
      </c>
      <c r="O38" s="18">
        <v>0.79097222222222219</v>
      </c>
      <c r="P38" s="80">
        <v>46059</v>
      </c>
      <c r="Q38" s="18">
        <v>0.34652777777777777</v>
      </c>
      <c r="R38" s="80">
        <v>46059</v>
      </c>
      <c r="S38" s="18">
        <v>0.38819444444444445</v>
      </c>
      <c r="T38" s="33">
        <f t="shared" si="2"/>
        <v>0.81874999999999998</v>
      </c>
      <c r="U38" s="12">
        <v>0</v>
      </c>
      <c r="V38" s="12">
        <v>0</v>
      </c>
      <c r="W38" s="12">
        <v>0</v>
      </c>
      <c r="X38" s="19" t="s">
        <v>129</v>
      </c>
      <c r="Y38" s="17" t="s">
        <v>234</v>
      </c>
    </row>
    <row r="39" spans="1:25" s="16" customFormat="1" ht="15">
      <c r="A39" s="16">
        <v>60</v>
      </c>
      <c r="B39" s="16">
        <v>3</v>
      </c>
      <c r="C39" s="16">
        <f t="shared" si="0"/>
        <v>120</v>
      </c>
      <c r="D39" s="16">
        <f t="shared" si="1"/>
        <v>0.66666666666666663</v>
      </c>
      <c r="E39" s="79" t="s">
        <v>219</v>
      </c>
      <c r="F39" s="60">
        <v>607</v>
      </c>
      <c r="G39" s="17" t="s">
        <v>223</v>
      </c>
      <c r="H39" s="17"/>
      <c r="I39" s="12" t="s">
        <v>139</v>
      </c>
      <c r="J39" s="17" t="s">
        <v>224</v>
      </c>
      <c r="K39" s="12"/>
      <c r="L39" s="80">
        <v>46059</v>
      </c>
      <c r="M39" s="33">
        <v>0.48055555555555557</v>
      </c>
      <c r="N39" s="80">
        <v>46059</v>
      </c>
      <c r="O39" s="18">
        <v>0.63055555555555554</v>
      </c>
      <c r="P39" s="80">
        <v>46059</v>
      </c>
      <c r="Q39" s="18">
        <v>0.86250000000000004</v>
      </c>
      <c r="R39" s="80">
        <v>46059</v>
      </c>
      <c r="S39" s="18">
        <v>0.90416666666666667</v>
      </c>
      <c r="T39" s="33">
        <f>O39+(D39/24)</f>
        <v>0.65833333333333333</v>
      </c>
      <c r="U39" s="12">
        <v>0</v>
      </c>
      <c r="V39" s="12">
        <v>0</v>
      </c>
      <c r="W39" s="12">
        <v>0</v>
      </c>
      <c r="X39" s="19" t="s">
        <v>129</v>
      </c>
      <c r="Y39" s="17" t="s">
        <v>227</v>
      </c>
    </row>
    <row r="40" spans="1:25" s="16" customFormat="1" ht="15">
      <c r="E40" s="79" t="s">
        <v>219</v>
      </c>
      <c r="F40" s="60">
        <v>608</v>
      </c>
      <c r="G40" s="17" t="s">
        <v>225</v>
      </c>
      <c r="H40" s="17">
        <v>2478</v>
      </c>
      <c r="I40" s="12" t="s">
        <v>215</v>
      </c>
      <c r="J40" s="60" t="s">
        <v>179</v>
      </c>
      <c r="K40" s="60">
        <v>35</v>
      </c>
      <c r="L40" s="80">
        <v>46060</v>
      </c>
      <c r="M40" s="33">
        <v>9.0277777777777776E-2</v>
      </c>
      <c r="N40" s="80">
        <v>46060</v>
      </c>
      <c r="O40" s="18">
        <v>0.21527777777777779</v>
      </c>
      <c r="P40" s="80">
        <v>46060</v>
      </c>
      <c r="Q40" s="18">
        <v>0.81666666666666665</v>
      </c>
      <c r="R40" s="80">
        <v>46060</v>
      </c>
      <c r="S40" s="18">
        <v>0.85763888888888884</v>
      </c>
      <c r="T40" s="33">
        <f t="shared" ref="T40:T69" si="3">O40+(D40/24)</f>
        <v>0.21527777777777779</v>
      </c>
      <c r="U40" s="12">
        <v>2</v>
      </c>
      <c r="V40" s="12">
        <v>0</v>
      </c>
      <c r="W40" s="12">
        <v>0</v>
      </c>
      <c r="X40" s="19" t="s">
        <v>129</v>
      </c>
      <c r="Y40" s="17" t="s">
        <v>226</v>
      </c>
    </row>
    <row r="41" spans="1:25" s="16" customFormat="1" ht="30">
      <c r="E41" s="60" t="s">
        <v>219</v>
      </c>
      <c r="F41" s="60">
        <v>609</v>
      </c>
      <c r="G41" s="17" t="s">
        <v>229</v>
      </c>
      <c r="H41" s="17">
        <v>2591</v>
      </c>
      <c r="I41" s="12" t="s">
        <v>185</v>
      </c>
      <c r="J41" s="60" t="s">
        <v>179</v>
      </c>
      <c r="K41" s="60">
        <v>35</v>
      </c>
      <c r="L41" s="21">
        <v>46060</v>
      </c>
      <c r="M41" s="33">
        <v>0.93263888888888891</v>
      </c>
      <c r="N41" s="21">
        <v>46061</v>
      </c>
      <c r="O41" s="18">
        <v>8.611111111111111E-2</v>
      </c>
      <c r="P41" s="21">
        <v>46061</v>
      </c>
      <c r="Q41" s="18">
        <v>0.21666666666666667</v>
      </c>
      <c r="R41" s="21">
        <v>46061</v>
      </c>
      <c r="S41" s="18">
        <v>0.24791666666666667</v>
      </c>
      <c r="T41" s="33">
        <f t="shared" si="3"/>
        <v>8.611111111111111E-2</v>
      </c>
      <c r="U41" s="12">
        <v>0</v>
      </c>
      <c r="V41" s="12">
        <v>0</v>
      </c>
      <c r="W41" s="12">
        <v>0</v>
      </c>
      <c r="X41" s="12" t="s">
        <v>129</v>
      </c>
      <c r="Y41" s="17" t="s">
        <v>233</v>
      </c>
    </row>
    <row r="42" spans="1:25" s="16" customFormat="1" ht="15.75" thickBot="1">
      <c r="E42" s="75" t="s">
        <v>219</v>
      </c>
      <c r="F42" s="75">
        <v>610</v>
      </c>
      <c r="G42" s="76" t="s">
        <v>228</v>
      </c>
      <c r="H42" s="76">
        <v>2108</v>
      </c>
      <c r="I42" s="77" t="s">
        <v>201</v>
      </c>
      <c r="J42" s="75" t="s">
        <v>179</v>
      </c>
      <c r="K42" s="75">
        <v>35</v>
      </c>
      <c r="L42" s="45">
        <v>46061</v>
      </c>
      <c r="M42" s="78">
        <v>0.37152777777777779</v>
      </c>
      <c r="N42" s="45">
        <v>46061</v>
      </c>
      <c r="O42" s="46">
        <v>0.50138888888888888</v>
      </c>
      <c r="P42" s="45">
        <v>46061</v>
      </c>
      <c r="Q42" s="46">
        <v>0.99513888888888891</v>
      </c>
      <c r="R42" s="45">
        <v>46062</v>
      </c>
      <c r="S42" s="46">
        <v>2.9166666666666667E-2</v>
      </c>
      <c r="T42" s="78">
        <f t="shared" si="3"/>
        <v>0.50138888888888888</v>
      </c>
      <c r="U42" s="77">
        <v>0</v>
      </c>
      <c r="V42" s="77">
        <v>0</v>
      </c>
      <c r="W42" s="77">
        <v>0</v>
      </c>
      <c r="X42" s="77" t="s">
        <v>129</v>
      </c>
      <c r="Y42" s="162"/>
    </row>
    <row r="43" spans="1:25" s="16" customFormat="1" ht="15">
      <c r="E43" s="79" t="s">
        <v>230</v>
      </c>
      <c r="F43" s="79">
        <v>611</v>
      </c>
      <c r="G43" s="72" t="s">
        <v>232</v>
      </c>
      <c r="H43" s="72">
        <v>2178</v>
      </c>
      <c r="I43" s="19" t="s">
        <v>151</v>
      </c>
      <c r="J43" s="79" t="s">
        <v>179</v>
      </c>
      <c r="K43" s="79">
        <v>33</v>
      </c>
      <c r="L43" s="80">
        <v>46062</v>
      </c>
      <c r="M43" s="73">
        <v>7.4305555555555555E-2</v>
      </c>
      <c r="N43" s="80">
        <v>46062</v>
      </c>
      <c r="O43" s="74">
        <v>0.21249999999999999</v>
      </c>
      <c r="P43" s="80">
        <v>46062</v>
      </c>
      <c r="Q43" s="74">
        <v>0.74444444444444446</v>
      </c>
      <c r="R43" s="80">
        <v>46062</v>
      </c>
      <c r="S43" s="74">
        <v>0.77083333333333337</v>
      </c>
      <c r="T43" s="73">
        <f t="shared" si="3"/>
        <v>0.21249999999999999</v>
      </c>
      <c r="U43" s="19">
        <v>0</v>
      </c>
      <c r="V43" s="19">
        <v>1</v>
      </c>
      <c r="W43" s="19">
        <v>1</v>
      </c>
      <c r="X43" s="19" t="s">
        <v>129</v>
      </c>
      <c r="Y43" s="72"/>
    </row>
    <row r="44" spans="1:25" s="16" customFormat="1" ht="15">
      <c r="E44" s="79" t="s">
        <v>230</v>
      </c>
      <c r="F44" s="60">
        <v>612</v>
      </c>
      <c r="G44" s="17" t="s">
        <v>235</v>
      </c>
      <c r="H44" s="17">
        <f>825+1328</f>
        <v>2153</v>
      </c>
      <c r="I44" s="12" t="s">
        <v>185</v>
      </c>
      <c r="J44" s="71" t="s">
        <v>236</v>
      </c>
      <c r="K44" s="110" t="s">
        <v>237</v>
      </c>
      <c r="L44" s="80">
        <v>46062</v>
      </c>
      <c r="M44" s="33">
        <v>0.84930555555555554</v>
      </c>
      <c r="N44" s="80">
        <v>46062</v>
      </c>
      <c r="O44" s="18">
        <v>0.99513888888888891</v>
      </c>
      <c r="P44" s="80">
        <v>46063</v>
      </c>
      <c r="Q44" s="18">
        <v>0.52083333333333337</v>
      </c>
      <c r="R44" s="80">
        <v>46063</v>
      </c>
      <c r="S44" s="18">
        <v>0.55902777777777779</v>
      </c>
      <c r="T44" s="33">
        <f t="shared" si="3"/>
        <v>0.99513888888888891</v>
      </c>
      <c r="U44" s="12">
        <v>0</v>
      </c>
      <c r="V44" s="12">
        <v>2</v>
      </c>
      <c r="W44" s="12">
        <v>0</v>
      </c>
      <c r="X44" s="19" t="s">
        <v>129</v>
      </c>
      <c r="Y44" s="17" t="s">
        <v>238</v>
      </c>
    </row>
    <row r="45" spans="1:25" s="16" customFormat="1" ht="15">
      <c r="E45" s="79" t="s">
        <v>230</v>
      </c>
      <c r="F45" s="60">
        <v>613</v>
      </c>
      <c r="G45" s="17" t="s">
        <v>239</v>
      </c>
      <c r="H45" s="17">
        <v>2241</v>
      </c>
      <c r="I45" s="12" t="s">
        <v>139</v>
      </c>
      <c r="J45" s="60" t="s">
        <v>179</v>
      </c>
      <c r="K45" s="60">
        <v>33</v>
      </c>
      <c r="L45" s="80">
        <v>46063</v>
      </c>
      <c r="M45" s="33">
        <v>0.65972222222222221</v>
      </c>
      <c r="N45" s="80">
        <v>46063</v>
      </c>
      <c r="O45" s="18">
        <v>0.81041666666666667</v>
      </c>
      <c r="P45" s="80">
        <v>46064</v>
      </c>
      <c r="Q45" s="18">
        <v>0.35694444444444445</v>
      </c>
      <c r="R45" s="80">
        <v>46064</v>
      </c>
      <c r="S45" s="18">
        <v>0.38958333333333334</v>
      </c>
      <c r="T45" s="33">
        <f t="shared" si="3"/>
        <v>0.81041666666666667</v>
      </c>
      <c r="U45" s="12">
        <v>0</v>
      </c>
      <c r="V45" s="12">
        <v>0</v>
      </c>
      <c r="W45" s="12">
        <v>0</v>
      </c>
      <c r="X45" s="19" t="s">
        <v>129</v>
      </c>
      <c r="Y45" s="17" t="s">
        <v>242</v>
      </c>
    </row>
    <row r="46" spans="1:25" s="16" customFormat="1" ht="15">
      <c r="E46" s="79" t="s">
        <v>230</v>
      </c>
      <c r="F46" s="60">
        <v>614</v>
      </c>
      <c r="G46" s="17" t="s">
        <v>240</v>
      </c>
      <c r="H46" s="17">
        <v>2200</v>
      </c>
      <c r="I46" s="12" t="s">
        <v>158</v>
      </c>
      <c r="J46" s="71" t="s">
        <v>241</v>
      </c>
      <c r="K46" s="97">
        <v>39</v>
      </c>
      <c r="L46" s="80">
        <v>46064</v>
      </c>
      <c r="M46" s="33">
        <v>0.45347222222222222</v>
      </c>
      <c r="N46" s="80">
        <v>46064</v>
      </c>
      <c r="O46" s="18">
        <v>0.56805555555555554</v>
      </c>
      <c r="P46" s="80">
        <v>46065</v>
      </c>
      <c r="Q46" s="18">
        <v>0.10486111111111111</v>
      </c>
      <c r="R46" s="80">
        <v>46065</v>
      </c>
      <c r="S46" s="18">
        <v>0.14583333333333334</v>
      </c>
      <c r="T46" s="33">
        <f t="shared" si="3"/>
        <v>0.56805555555555554</v>
      </c>
      <c r="U46" s="12">
        <v>0</v>
      </c>
      <c r="V46" s="12">
        <v>1</v>
      </c>
      <c r="W46" s="12">
        <v>0</v>
      </c>
      <c r="X46" s="19" t="s">
        <v>129</v>
      </c>
      <c r="Y46" s="17" t="s">
        <v>245</v>
      </c>
    </row>
    <row r="47" spans="1:25" s="16" customFormat="1" ht="15">
      <c r="E47" s="79" t="s">
        <v>230</v>
      </c>
      <c r="F47" s="60">
        <v>615</v>
      </c>
      <c r="G47" s="17" t="s">
        <v>243</v>
      </c>
      <c r="H47" s="17">
        <v>2000</v>
      </c>
      <c r="I47" s="12" t="s">
        <v>151</v>
      </c>
      <c r="J47" s="71" t="s">
        <v>241</v>
      </c>
      <c r="K47" s="97">
        <v>39</v>
      </c>
      <c r="L47" s="80">
        <v>46065</v>
      </c>
      <c r="M47" s="33">
        <v>0.19236111111111112</v>
      </c>
      <c r="N47" s="80">
        <v>46065</v>
      </c>
      <c r="O47" s="18">
        <v>0.31874999999999998</v>
      </c>
      <c r="P47" s="80">
        <v>46065</v>
      </c>
      <c r="Q47" s="18">
        <v>0.80972222222222223</v>
      </c>
      <c r="R47" s="80">
        <v>46065</v>
      </c>
      <c r="S47" s="18">
        <v>0.8520833333333333</v>
      </c>
      <c r="T47" s="33">
        <f t="shared" si="3"/>
        <v>0.31874999999999998</v>
      </c>
      <c r="U47" s="12">
        <v>0</v>
      </c>
      <c r="V47" s="12">
        <v>0</v>
      </c>
      <c r="W47" s="12">
        <v>0</v>
      </c>
      <c r="X47" s="19" t="s">
        <v>129</v>
      </c>
      <c r="Y47" s="17" t="s">
        <v>245</v>
      </c>
    </row>
    <row r="48" spans="1:25" s="16" customFormat="1" ht="15">
      <c r="E48" s="79" t="s">
        <v>230</v>
      </c>
      <c r="F48" s="60">
        <v>616</v>
      </c>
      <c r="G48" s="17" t="s">
        <v>246</v>
      </c>
      <c r="H48" s="17">
        <v>1700</v>
      </c>
      <c r="I48" s="12" t="s">
        <v>139</v>
      </c>
      <c r="J48" s="71" t="s">
        <v>236</v>
      </c>
      <c r="K48" s="110" t="s">
        <v>247</v>
      </c>
      <c r="L48" s="80">
        <v>46065</v>
      </c>
      <c r="M48" s="33">
        <v>0.90208333333333335</v>
      </c>
      <c r="N48" s="80">
        <v>46066</v>
      </c>
      <c r="O48" s="18">
        <v>2.013888888888889E-2</v>
      </c>
      <c r="P48" s="80">
        <v>46066</v>
      </c>
      <c r="Q48" s="18">
        <v>0.44166666666666665</v>
      </c>
      <c r="R48" s="80">
        <v>46066</v>
      </c>
      <c r="S48" s="18">
        <v>0.47152777777777777</v>
      </c>
      <c r="T48" s="33">
        <f t="shared" si="3"/>
        <v>2.013888888888889E-2</v>
      </c>
      <c r="U48" s="12">
        <v>0</v>
      </c>
      <c r="V48" s="12">
        <v>0</v>
      </c>
      <c r="W48" s="12">
        <v>0</v>
      </c>
      <c r="X48" s="19" t="s">
        <v>129</v>
      </c>
      <c r="Y48" s="17"/>
    </row>
    <row r="49" spans="5:25" s="16" customFormat="1" ht="15">
      <c r="E49" s="79" t="s">
        <v>230</v>
      </c>
      <c r="F49" s="60">
        <v>617</v>
      </c>
      <c r="G49" s="17" t="s">
        <v>248</v>
      </c>
      <c r="H49" s="17">
        <v>1324</v>
      </c>
      <c r="I49" s="12" t="s">
        <v>249</v>
      </c>
      <c r="J49" s="60" t="s">
        <v>179</v>
      </c>
      <c r="K49" s="60">
        <v>35</v>
      </c>
      <c r="L49" s="80">
        <v>46066</v>
      </c>
      <c r="M49" s="33">
        <v>0.8569444444444444</v>
      </c>
      <c r="N49" s="80">
        <v>46066</v>
      </c>
      <c r="O49" s="18">
        <v>0.98888888888888893</v>
      </c>
      <c r="P49" s="80">
        <v>46067</v>
      </c>
      <c r="Q49" s="18">
        <v>0.19583333333333333</v>
      </c>
      <c r="R49" s="80">
        <v>46067</v>
      </c>
      <c r="S49" s="18">
        <v>0.23194444444444445</v>
      </c>
      <c r="T49" s="33">
        <f t="shared" si="3"/>
        <v>0.98888888888888893</v>
      </c>
      <c r="U49" s="12">
        <v>0</v>
      </c>
      <c r="V49" s="12">
        <v>0</v>
      </c>
      <c r="W49" s="12">
        <v>0</v>
      </c>
      <c r="X49" s="19" t="s">
        <v>129</v>
      </c>
      <c r="Y49" s="17" t="s">
        <v>250</v>
      </c>
    </row>
    <row r="50" spans="5:25" s="16" customFormat="1" ht="15">
      <c r="E50" s="79" t="s">
        <v>230</v>
      </c>
      <c r="F50" s="60">
        <v>618</v>
      </c>
      <c r="G50" s="17" t="s">
        <v>251</v>
      </c>
      <c r="H50" s="17">
        <v>1544</v>
      </c>
      <c r="I50" s="12" t="s">
        <v>201</v>
      </c>
      <c r="J50" s="71" t="s">
        <v>236</v>
      </c>
      <c r="K50" s="110" t="s">
        <v>237</v>
      </c>
      <c r="L50" s="80">
        <v>46067</v>
      </c>
      <c r="M50" s="33">
        <v>0.38194444444444442</v>
      </c>
      <c r="N50" s="80">
        <v>46067</v>
      </c>
      <c r="O50" s="18">
        <v>0.5083333333333333</v>
      </c>
      <c r="P50" s="80">
        <v>46067</v>
      </c>
      <c r="Q50" s="18">
        <v>0.8930555555555556</v>
      </c>
      <c r="R50" s="80">
        <v>46067</v>
      </c>
      <c r="S50" s="18">
        <v>0.93472222222222223</v>
      </c>
      <c r="T50" s="33">
        <f t="shared" si="3"/>
        <v>0.5083333333333333</v>
      </c>
      <c r="U50" s="12">
        <v>0</v>
      </c>
      <c r="V50" s="12">
        <v>0</v>
      </c>
      <c r="W50" s="12">
        <v>0</v>
      </c>
      <c r="X50" s="19" t="s">
        <v>129</v>
      </c>
      <c r="Y50" s="17" t="s">
        <v>257</v>
      </c>
    </row>
    <row r="51" spans="5:25" s="16" customFormat="1" ht="15.75" thickBot="1">
      <c r="E51" s="75" t="s">
        <v>230</v>
      </c>
      <c r="F51" s="75">
        <v>619</v>
      </c>
      <c r="G51" s="76" t="s">
        <v>252</v>
      </c>
      <c r="H51" s="76">
        <f>1200+429</f>
        <v>1629</v>
      </c>
      <c r="I51" s="77" t="s">
        <v>253</v>
      </c>
      <c r="J51" s="75" t="s">
        <v>179</v>
      </c>
      <c r="K51" s="75">
        <v>35</v>
      </c>
      <c r="L51" s="45">
        <v>46067</v>
      </c>
      <c r="M51" s="78">
        <v>0.99236111111111114</v>
      </c>
      <c r="N51" s="45">
        <v>46068</v>
      </c>
      <c r="O51" s="46">
        <v>0.10694444444444444</v>
      </c>
      <c r="P51" s="45">
        <v>46068</v>
      </c>
      <c r="Q51" s="46">
        <v>0.51249999999999996</v>
      </c>
      <c r="R51" s="45">
        <v>46068</v>
      </c>
      <c r="S51" s="46">
        <v>0.54652777777777772</v>
      </c>
      <c r="T51" s="78">
        <f t="shared" si="3"/>
        <v>0.10694444444444444</v>
      </c>
      <c r="U51" s="77">
        <v>0</v>
      </c>
      <c r="V51" s="77">
        <v>0</v>
      </c>
      <c r="W51" s="77">
        <v>0</v>
      </c>
      <c r="X51" s="77" t="s">
        <v>129</v>
      </c>
      <c r="Y51" s="76"/>
    </row>
    <row r="52" spans="5:25" s="27" customFormat="1" ht="15">
      <c r="E52" s="79" t="s">
        <v>254</v>
      </c>
      <c r="F52" s="79">
        <v>620</v>
      </c>
      <c r="G52" s="108" t="s">
        <v>256</v>
      </c>
      <c r="H52" s="108">
        <v>1199</v>
      </c>
      <c r="I52" s="109" t="s">
        <v>215</v>
      </c>
      <c r="J52" s="112" t="s">
        <v>179</v>
      </c>
      <c r="K52" s="112">
        <v>35</v>
      </c>
      <c r="L52" s="37">
        <v>46068</v>
      </c>
      <c r="M52" s="104">
        <v>0.60277777777777775</v>
      </c>
      <c r="N52" s="37">
        <v>46068</v>
      </c>
      <c r="O52" s="105">
        <v>0.72569444444444442</v>
      </c>
      <c r="P52" s="80">
        <v>46069</v>
      </c>
      <c r="Q52" s="105">
        <v>0.24791666666666667</v>
      </c>
      <c r="R52" s="37">
        <v>46069</v>
      </c>
      <c r="S52" s="105">
        <v>0.30555555555555558</v>
      </c>
      <c r="T52" s="104">
        <f t="shared" si="3"/>
        <v>0.72569444444444442</v>
      </c>
      <c r="U52" s="109">
        <v>0</v>
      </c>
      <c r="V52" s="109">
        <v>0</v>
      </c>
      <c r="W52" s="109">
        <v>0</v>
      </c>
      <c r="X52" s="109" t="s">
        <v>129</v>
      </c>
      <c r="Y52" s="108" t="s">
        <v>258</v>
      </c>
    </row>
    <row r="53" spans="5:25" s="16" customFormat="1" ht="30">
      <c r="E53" s="79" t="s">
        <v>254</v>
      </c>
      <c r="F53" s="60">
        <v>621</v>
      </c>
      <c r="G53" s="72" t="s">
        <v>259</v>
      </c>
      <c r="H53" s="72">
        <v>1843</v>
      </c>
      <c r="I53" s="19" t="s">
        <v>169</v>
      </c>
      <c r="J53" s="93" t="s">
        <v>140</v>
      </c>
      <c r="K53" s="93" t="s">
        <v>260</v>
      </c>
      <c r="L53" s="80">
        <v>46069</v>
      </c>
      <c r="M53" s="73">
        <v>0.54861111111111116</v>
      </c>
      <c r="N53" s="80">
        <v>46069</v>
      </c>
      <c r="O53" s="74">
        <v>0.86805555555555547</v>
      </c>
      <c r="P53" s="80">
        <v>46069</v>
      </c>
      <c r="Q53" s="74">
        <v>0.95208333333333339</v>
      </c>
      <c r="R53" s="80">
        <v>46069</v>
      </c>
      <c r="S53" s="74">
        <v>0.96666666666666667</v>
      </c>
      <c r="T53" s="73">
        <f t="shared" si="3"/>
        <v>0.86805555555555547</v>
      </c>
      <c r="U53" s="19">
        <v>0</v>
      </c>
      <c r="V53" s="19">
        <v>0</v>
      </c>
      <c r="W53" s="19">
        <v>0</v>
      </c>
      <c r="X53" s="100" t="s">
        <v>104</v>
      </c>
      <c r="Y53" s="111" t="s">
        <v>263</v>
      </c>
    </row>
    <row r="54" spans="5:25" s="16" customFormat="1" ht="15">
      <c r="E54" s="79" t="s">
        <v>254</v>
      </c>
      <c r="F54" s="60">
        <v>622</v>
      </c>
      <c r="G54" s="17" t="s">
        <v>262</v>
      </c>
      <c r="H54" s="17">
        <v>1482</v>
      </c>
      <c r="I54" s="12" t="s">
        <v>48</v>
      </c>
      <c r="J54" s="93" t="s">
        <v>140</v>
      </c>
      <c r="K54" s="93" t="s">
        <v>260</v>
      </c>
      <c r="L54" s="80">
        <v>46070</v>
      </c>
      <c r="M54" s="33">
        <v>5.8333333333333327E-2</v>
      </c>
      <c r="N54" s="80">
        <v>46070</v>
      </c>
      <c r="O54" s="18">
        <v>0.16666666666666666</v>
      </c>
      <c r="P54" s="80">
        <v>46070</v>
      </c>
      <c r="Q54" s="18">
        <v>0.54166666666666663</v>
      </c>
      <c r="R54" s="80">
        <v>46070</v>
      </c>
      <c r="S54" s="18">
        <v>0.58611111111111114</v>
      </c>
      <c r="T54" s="33">
        <f t="shared" si="3"/>
        <v>0.16666666666666666</v>
      </c>
      <c r="U54" s="12">
        <v>0</v>
      </c>
      <c r="V54" s="12">
        <v>0</v>
      </c>
      <c r="W54" s="12">
        <v>0</v>
      </c>
      <c r="X54" s="19" t="s">
        <v>104</v>
      </c>
      <c r="Y54" s="17" t="s">
        <v>264</v>
      </c>
    </row>
    <row r="55" spans="5:25" s="16" customFormat="1" ht="15">
      <c r="E55" s="79" t="s">
        <v>254</v>
      </c>
      <c r="F55" s="60">
        <v>623</v>
      </c>
      <c r="G55" s="17" t="s">
        <v>265</v>
      </c>
      <c r="H55" s="17">
        <v>2397</v>
      </c>
      <c r="I55" s="12" t="s">
        <v>215</v>
      </c>
      <c r="J55" s="60" t="s">
        <v>179</v>
      </c>
      <c r="K55" s="60">
        <v>35</v>
      </c>
      <c r="L55" s="80">
        <v>46070</v>
      </c>
      <c r="M55" s="33">
        <v>0.66388888888888886</v>
      </c>
      <c r="N55" s="80">
        <v>46070</v>
      </c>
      <c r="O55" s="18">
        <v>0.80555555555555547</v>
      </c>
      <c r="P55" s="80">
        <v>46071</v>
      </c>
      <c r="Q55" s="18">
        <v>0.32222222222222224</v>
      </c>
      <c r="R55" s="80">
        <v>46071</v>
      </c>
      <c r="S55" s="18">
        <v>0.34930555555555554</v>
      </c>
      <c r="T55" s="33">
        <f t="shared" si="3"/>
        <v>0.80555555555555547</v>
      </c>
      <c r="U55" s="12">
        <v>0</v>
      </c>
      <c r="V55" s="12">
        <v>2</v>
      </c>
      <c r="W55" s="12">
        <v>0</v>
      </c>
      <c r="X55" s="19" t="s">
        <v>104</v>
      </c>
      <c r="Y55" s="17" t="s">
        <v>261</v>
      </c>
    </row>
    <row r="56" spans="5:25" ht="15">
      <c r="E56" s="79" t="s">
        <v>254</v>
      </c>
      <c r="F56" s="60">
        <v>624</v>
      </c>
      <c r="G56" s="17" t="s">
        <v>267</v>
      </c>
      <c r="H56" s="17">
        <v>2763</v>
      </c>
      <c r="I56" s="12" t="s">
        <v>268</v>
      </c>
      <c r="J56" s="71" t="s">
        <v>269</v>
      </c>
      <c r="K56" s="71" t="s">
        <v>217</v>
      </c>
      <c r="L56" s="80">
        <v>46071</v>
      </c>
      <c r="M56" s="33">
        <v>0.48194444444444445</v>
      </c>
      <c r="N56" s="80">
        <v>46071</v>
      </c>
      <c r="O56" s="18">
        <v>0.62291666666666667</v>
      </c>
      <c r="P56" s="80">
        <v>46072</v>
      </c>
      <c r="Q56" s="18">
        <v>0.26250000000000001</v>
      </c>
      <c r="R56" s="80">
        <v>46072</v>
      </c>
      <c r="S56" s="18">
        <v>0.3</v>
      </c>
      <c r="T56" s="33">
        <f t="shared" si="3"/>
        <v>0.62291666666666667</v>
      </c>
      <c r="U56" s="12">
        <v>0</v>
      </c>
      <c r="V56" s="12">
        <v>2</v>
      </c>
      <c r="W56" s="12">
        <v>0</v>
      </c>
      <c r="X56" s="19" t="s">
        <v>104</v>
      </c>
      <c r="Y56" s="17" t="s">
        <v>266</v>
      </c>
    </row>
    <row r="57" spans="5:25" ht="15">
      <c r="E57" s="79" t="s">
        <v>254</v>
      </c>
      <c r="F57" s="60">
        <v>625</v>
      </c>
      <c r="G57" s="17" t="s">
        <v>271</v>
      </c>
      <c r="H57" s="17">
        <v>2010</v>
      </c>
      <c r="I57" s="12" t="s">
        <v>185</v>
      </c>
      <c r="J57" s="12" t="s">
        <v>21</v>
      </c>
      <c r="K57" s="12">
        <v>37</v>
      </c>
      <c r="L57" s="80">
        <v>46072</v>
      </c>
      <c r="M57" s="33">
        <v>0.40347222222222223</v>
      </c>
      <c r="N57" s="80">
        <v>46072</v>
      </c>
      <c r="O57" s="18">
        <v>0.53194444444444444</v>
      </c>
      <c r="P57" s="80">
        <v>46073</v>
      </c>
      <c r="Q57" s="18">
        <v>2.5000000000000001E-2</v>
      </c>
      <c r="R57" s="80">
        <v>46073</v>
      </c>
      <c r="S57" s="18">
        <v>5.9027777777777776E-2</v>
      </c>
      <c r="T57" s="33">
        <f t="shared" si="3"/>
        <v>0.53194444444444444</v>
      </c>
      <c r="U57" s="12">
        <v>0</v>
      </c>
      <c r="V57" s="12">
        <v>0</v>
      </c>
      <c r="W57" s="12">
        <v>0</v>
      </c>
      <c r="X57" s="19" t="s">
        <v>104</v>
      </c>
      <c r="Y57" s="17" t="s">
        <v>272</v>
      </c>
    </row>
    <row r="58" spans="5:25" ht="15">
      <c r="E58" s="79" t="s">
        <v>254</v>
      </c>
      <c r="F58" s="60">
        <v>626</v>
      </c>
      <c r="G58" s="17" t="s">
        <v>273</v>
      </c>
      <c r="H58" s="17">
        <v>2013</v>
      </c>
      <c r="J58" s="12" t="s">
        <v>21</v>
      </c>
      <c r="K58" s="12">
        <v>37</v>
      </c>
      <c r="L58" s="80">
        <v>46073</v>
      </c>
      <c r="M58" s="33">
        <v>0.16875000000000001</v>
      </c>
      <c r="N58" s="80">
        <v>46073</v>
      </c>
      <c r="O58" s="18">
        <v>0.2902777777777778</v>
      </c>
      <c r="P58" s="80">
        <v>46073</v>
      </c>
      <c r="Q58" s="18">
        <v>0.78402777777777777</v>
      </c>
      <c r="R58" s="80">
        <v>46073</v>
      </c>
      <c r="S58" s="18">
        <v>0.82291666666666663</v>
      </c>
      <c r="T58" s="33">
        <f t="shared" si="3"/>
        <v>0.2902777777777778</v>
      </c>
      <c r="U58" s="12">
        <v>0</v>
      </c>
      <c r="V58" s="12">
        <v>2</v>
      </c>
      <c r="W58" s="12">
        <v>0</v>
      </c>
      <c r="X58" s="19" t="s">
        <v>104</v>
      </c>
      <c r="Y58" s="17" t="s">
        <v>275</v>
      </c>
    </row>
    <row r="59" spans="5:25" ht="15">
      <c r="E59" s="79" t="s">
        <v>254</v>
      </c>
      <c r="F59" s="60">
        <v>627</v>
      </c>
      <c r="G59" s="17" t="s">
        <v>274</v>
      </c>
      <c r="H59" s="17">
        <f>1894+250</f>
        <v>2144</v>
      </c>
      <c r="I59" s="12" t="s">
        <v>191</v>
      </c>
      <c r="J59" s="71" t="s">
        <v>236</v>
      </c>
      <c r="K59" s="110" t="s">
        <v>247</v>
      </c>
      <c r="L59" s="80">
        <v>46073</v>
      </c>
      <c r="M59" s="33">
        <v>0.92152777777777772</v>
      </c>
      <c r="N59" s="80">
        <v>46074</v>
      </c>
      <c r="O59" s="18">
        <v>0.05</v>
      </c>
      <c r="P59" s="80">
        <v>46074</v>
      </c>
      <c r="Q59" s="18">
        <v>0.57430555555555551</v>
      </c>
      <c r="R59" s="80">
        <v>46074</v>
      </c>
      <c r="S59" s="18">
        <v>0.61041666666666672</v>
      </c>
      <c r="T59" s="33">
        <f t="shared" si="3"/>
        <v>0.05</v>
      </c>
      <c r="U59" s="12">
        <v>0</v>
      </c>
      <c r="V59" s="12">
        <v>1</v>
      </c>
      <c r="W59" s="12">
        <v>0</v>
      </c>
      <c r="X59" s="19" t="s">
        <v>104</v>
      </c>
      <c r="Y59" s="17"/>
    </row>
    <row r="60" spans="5:25" ht="15.75" thickBot="1">
      <c r="E60" s="60" t="s">
        <v>254</v>
      </c>
      <c r="F60" s="75">
        <v>628</v>
      </c>
      <c r="G60" s="76" t="s">
        <v>278</v>
      </c>
      <c r="H60" s="76">
        <v>2086</v>
      </c>
      <c r="I60" s="77"/>
      <c r="J60" s="87" t="s">
        <v>140</v>
      </c>
      <c r="K60" s="87" t="s">
        <v>260</v>
      </c>
      <c r="L60" s="45">
        <v>46074</v>
      </c>
      <c r="M60" s="78">
        <v>0.72083333333333333</v>
      </c>
      <c r="N60" s="45">
        <v>46075</v>
      </c>
      <c r="O60" s="46">
        <v>1.6666666666666666E-2</v>
      </c>
      <c r="P60" s="45">
        <v>46075</v>
      </c>
      <c r="Q60" s="46">
        <v>0.52708333333333335</v>
      </c>
      <c r="R60" s="45">
        <v>46075</v>
      </c>
      <c r="S60" s="46">
        <v>0.55902777777777779</v>
      </c>
      <c r="T60" s="78">
        <f t="shared" si="3"/>
        <v>1.6666666666666666E-2</v>
      </c>
      <c r="U60" s="77">
        <v>0</v>
      </c>
      <c r="V60" s="77">
        <v>1</v>
      </c>
      <c r="W60" s="77">
        <v>0</v>
      </c>
      <c r="X60" s="124" t="s">
        <v>129</v>
      </c>
      <c r="Y60" s="76" t="s">
        <v>276</v>
      </c>
    </row>
    <row r="61" spans="5:25" ht="15.75" thickBot="1">
      <c r="E61" s="75" t="s">
        <v>254</v>
      </c>
      <c r="F61" s="79">
        <v>629</v>
      </c>
      <c r="G61" s="72" t="s">
        <v>277</v>
      </c>
      <c r="H61" s="72">
        <v>2330</v>
      </c>
      <c r="I61" s="19" t="s">
        <v>205</v>
      </c>
      <c r="J61" s="19" t="s">
        <v>21</v>
      </c>
      <c r="K61" s="19">
        <v>37</v>
      </c>
      <c r="L61" s="80">
        <v>46075</v>
      </c>
      <c r="M61" s="73">
        <v>0.58125000000000004</v>
      </c>
      <c r="N61" s="80">
        <v>46075</v>
      </c>
      <c r="O61" s="74">
        <v>0.69444444444444453</v>
      </c>
      <c r="P61" s="80">
        <v>46076</v>
      </c>
      <c r="Q61" s="74">
        <v>0.26111111111111113</v>
      </c>
      <c r="R61" s="80">
        <v>46076</v>
      </c>
      <c r="S61" s="74">
        <v>0.30208333333333331</v>
      </c>
      <c r="T61" s="73">
        <f t="shared" si="3"/>
        <v>0.69444444444444453</v>
      </c>
      <c r="U61" s="19">
        <v>0</v>
      </c>
      <c r="V61" s="19">
        <v>1</v>
      </c>
      <c r="W61" s="19">
        <v>0</v>
      </c>
      <c r="X61" s="19" t="s">
        <v>129</v>
      </c>
      <c r="Y61" s="72"/>
    </row>
    <row r="62" spans="5:25" ht="15">
      <c r="E62" s="79" t="s">
        <v>270</v>
      </c>
      <c r="F62" s="60">
        <v>630</v>
      </c>
      <c r="G62" s="72" t="s">
        <v>280</v>
      </c>
      <c r="H62" s="72">
        <v>2184</v>
      </c>
      <c r="I62" s="19" t="s">
        <v>283</v>
      </c>
      <c r="J62" s="19" t="s">
        <v>21</v>
      </c>
      <c r="K62" s="19">
        <v>37</v>
      </c>
      <c r="L62" s="80">
        <v>46076</v>
      </c>
      <c r="M62" s="73">
        <v>0.4284722222222222</v>
      </c>
      <c r="N62" s="80">
        <v>46076</v>
      </c>
      <c r="O62" s="74">
        <v>0.61736111111111114</v>
      </c>
      <c r="P62" s="80">
        <v>46077</v>
      </c>
      <c r="Q62" s="74">
        <v>0.15069444444444444</v>
      </c>
      <c r="R62" s="80">
        <v>46077</v>
      </c>
      <c r="S62" s="74">
        <v>0.1875</v>
      </c>
      <c r="T62" s="73">
        <f t="shared" si="3"/>
        <v>0.61736111111111114</v>
      </c>
      <c r="U62" s="19">
        <v>0</v>
      </c>
      <c r="V62" s="19">
        <v>1</v>
      </c>
      <c r="W62" s="19">
        <v>0</v>
      </c>
      <c r="X62" s="19" t="s">
        <v>129</v>
      </c>
      <c r="Y62" s="72" t="s">
        <v>281</v>
      </c>
    </row>
    <row r="63" spans="5:25" ht="15">
      <c r="E63" s="60" t="s">
        <v>270</v>
      </c>
      <c r="F63" s="60">
        <v>631</v>
      </c>
      <c r="G63" s="17" t="s">
        <v>282</v>
      </c>
      <c r="H63" s="12">
        <v>1912</v>
      </c>
      <c r="I63" s="12" t="s">
        <v>283</v>
      </c>
      <c r="J63" s="12" t="s">
        <v>21</v>
      </c>
      <c r="K63" s="12">
        <v>37</v>
      </c>
      <c r="L63" s="80">
        <v>46077</v>
      </c>
      <c r="M63" s="18">
        <v>0.23680555555555555</v>
      </c>
      <c r="N63" s="80">
        <v>46077</v>
      </c>
      <c r="O63" s="18">
        <v>0.37569444444444444</v>
      </c>
      <c r="P63" s="80">
        <v>46077</v>
      </c>
      <c r="Q63" s="18">
        <v>0.82152777777777775</v>
      </c>
      <c r="R63" s="80">
        <v>46077</v>
      </c>
      <c r="S63" s="18">
        <v>0.84305555555555556</v>
      </c>
      <c r="T63" s="73">
        <f t="shared" si="3"/>
        <v>0.37569444444444444</v>
      </c>
      <c r="U63" s="12">
        <v>0</v>
      </c>
      <c r="V63" s="12">
        <v>1</v>
      </c>
      <c r="W63" s="12">
        <v>0</v>
      </c>
      <c r="X63" s="12" t="s">
        <v>129</v>
      </c>
      <c r="Y63" s="17"/>
    </row>
    <row r="64" spans="5:25" ht="42.75">
      <c r="E64" s="60" t="s">
        <v>270</v>
      </c>
      <c r="F64" s="60">
        <v>632</v>
      </c>
      <c r="G64" s="17" t="s">
        <v>284</v>
      </c>
      <c r="H64" s="12">
        <v>1912</v>
      </c>
      <c r="I64" s="12" t="s">
        <v>285</v>
      </c>
      <c r="J64" s="12" t="s">
        <v>21</v>
      </c>
      <c r="K64" s="12">
        <v>37</v>
      </c>
      <c r="L64" s="80">
        <v>46078</v>
      </c>
      <c r="M64" s="18">
        <v>7.6388888888888886E-3</v>
      </c>
      <c r="N64" s="80">
        <v>46078</v>
      </c>
      <c r="O64" s="18">
        <v>0.15555555555555556</v>
      </c>
      <c r="P64" s="80">
        <v>46078</v>
      </c>
      <c r="Q64" s="18">
        <v>0.4826388888888889</v>
      </c>
      <c r="R64" s="80">
        <v>46078</v>
      </c>
      <c r="S64" s="18">
        <v>0.5541666666666667</v>
      </c>
      <c r="T64" s="73">
        <f t="shared" si="3"/>
        <v>0.15555555555555556</v>
      </c>
      <c r="U64" s="12">
        <v>0</v>
      </c>
      <c r="V64" s="12">
        <v>0</v>
      </c>
      <c r="W64" s="12">
        <v>0</v>
      </c>
      <c r="X64" s="12" t="s">
        <v>129</v>
      </c>
      <c r="Y64" s="17" t="s">
        <v>288</v>
      </c>
    </row>
    <row r="65" spans="5:25" ht="15">
      <c r="E65" s="60" t="s">
        <v>270</v>
      </c>
      <c r="F65" s="60">
        <v>633</v>
      </c>
      <c r="G65" s="17" t="s">
        <v>286</v>
      </c>
      <c r="H65" s="12">
        <v>2122</v>
      </c>
      <c r="I65" s="12" t="s">
        <v>287</v>
      </c>
      <c r="J65" s="12" t="s">
        <v>21</v>
      </c>
      <c r="K65" s="12">
        <v>37</v>
      </c>
      <c r="L65" s="80">
        <v>46078</v>
      </c>
      <c r="M65" s="18">
        <v>0.60833333333333328</v>
      </c>
      <c r="N65" s="80">
        <v>46078</v>
      </c>
      <c r="O65" s="18">
        <v>0.73958333333333337</v>
      </c>
      <c r="P65" s="80">
        <v>46079</v>
      </c>
      <c r="Q65" s="18">
        <v>0.25833333333333336</v>
      </c>
      <c r="R65" s="80">
        <v>46079</v>
      </c>
      <c r="S65" s="18">
        <v>0.29791666666666666</v>
      </c>
      <c r="T65" s="73">
        <f t="shared" si="3"/>
        <v>0.73958333333333337</v>
      </c>
      <c r="U65" s="12">
        <v>0</v>
      </c>
      <c r="V65" s="12">
        <v>0</v>
      </c>
      <c r="W65" s="12">
        <v>0</v>
      </c>
      <c r="X65" s="12" t="s">
        <v>129</v>
      </c>
      <c r="Y65" s="17" t="s">
        <v>293</v>
      </c>
    </row>
    <row r="66" spans="5:25" ht="29.25" customHeight="1">
      <c r="E66" s="60" t="s">
        <v>270</v>
      </c>
      <c r="F66" s="60">
        <v>634</v>
      </c>
      <c r="G66" s="17" t="s">
        <v>289</v>
      </c>
      <c r="H66" s="12">
        <v>2512</v>
      </c>
      <c r="I66" s="12" t="s">
        <v>290</v>
      </c>
      <c r="J66" s="12" t="s">
        <v>21</v>
      </c>
      <c r="K66" s="12">
        <v>37</v>
      </c>
      <c r="L66" s="80">
        <v>46079</v>
      </c>
      <c r="M66" s="18">
        <v>0.37291666666666667</v>
      </c>
      <c r="N66" s="80">
        <v>46079</v>
      </c>
      <c r="O66" s="18">
        <v>0.50694444444444442</v>
      </c>
      <c r="P66" s="80">
        <v>46080</v>
      </c>
      <c r="Q66" s="18">
        <v>0.11597222222222223</v>
      </c>
      <c r="R66" s="80">
        <v>46080</v>
      </c>
      <c r="S66" s="18">
        <v>0.15972222222222221</v>
      </c>
      <c r="T66" s="73">
        <f t="shared" si="3"/>
        <v>0.50694444444444442</v>
      </c>
      <c r="U66" s="12">
        <v>0</v>
      </c>
      <c r="V66" s="12">
        <v>0</v>
      </c>
      <c r="W66" s="12">
        <v>0</v>
      </c>
      <c r="X66" s="12" t="s">
        <v>129</v>
      </c>
      <c r="Y66" s="17" t="s">
        <v>294</v>
      </c>
    </row>
    <row r="67" spans="5:25" ht="39.75" customHeight="1">
      <c r="E67" s="60" t="s">
        <v>270</v>
      </c>
      <c r="F67" s="60">
        <v>635</v>
      </c>
      <c r="G67" s="17" t="s">
        <v>291</v>
      </c>
      <c r="H67" s="12">
        <v>2395</v>
      </c>
      <c r="I67" s="12" t="s">
        <v>292</v>
      </c>
      <c r="J67" s="12" t="s">
        <v>21</v>
      </c>
      <c r="K67" s="12">
        <v>37</v>
      </c>
      <c r="L67" s="80">
        <v>46080</v>
      </c>
      <c r="M67" s="18">
        <v>0.23055555555555557</v>
      </c>
      <c r="N67" s="80">
        <v>46080</v>
      </c>
      <c r="O67" s="18">
        <v>0.37361111111111112</v>
      </c>
      <c r="P67" s="80">
        <v>46080</v>
      </c>
      <c r="Q67" s="18">
        <v>0.95625000000000004</v>
      </c>
      <c r="R67" s="80">
        <v>46080</v>
      </c>
      <c r="S67" s="18">
        <v>0.98958333333333337</v>
      </c>
      <c r="T67" s="73">
        <f t="shared" si="3"/>
        <v>0.37361111111111112</v>
      </c>
      <c r="U67" s="12">
        <v>1</v>
      </c>
      <c r="V67" s="12">
        <v>0</v>
      </c>
      <c r="W67" s="12">
        <v>0</v>
      </c>
      <c r="X67" s="12" t="s">
        <v>129</v>
      </c>
      <c r="Y67" s="17" t="s">
        <v>295</v>
      </c>
    </row>
    <row r="68" spans="5:25" ht="15">
      <c r="E68" s="60" t="s">
        <v>270</v>
      </c>
      <c r="F68" s="60">
        <v>636</v>
      </c>
      <c r="G68" s="17" t="s">
        <v>296</v>
      </c>
      <c r="H68" s="12">
        <v>2396</v>
      </c>
      <c r="I68" s="12" t="s">
        <v>297</v>
      </c>
      <c r="J68" s="12" t="s">
        <v>21</v>
      </c>
      <c r="K68" s="12">
        <v>37</v>
      </c>
      <c r="L68" s="21">
        <v>46081</v>
      </c>
      <c r="M68" s="18">
        <v>0.10347222222222222</v>
      </c>
      <c r="N68" s="80">
        <v>46081</v>
      </c>
      <c r="O68" s="18">
        <v>0.25</v>
      </c>
      <c r="P68" s="80">
        <v>46081</v>
      </c>
      <c r="Q68" s="18">
        <v>0.83263888888888893</v>
      </c>
      <c r="R68" s="80">
        <v>46081</v>
      </c>
      <c r="S68" s="18">
        <v>0.86875000000000002</v>
      </c>
      <c r="T68" s="73">
        <f t="shared" si="3"/>
        <v>0.25</v>
      </c>
      <c r="U68" s="12">
        <v>0</v>
      </c>
      <c r="V68" s="12">
        <v>2</v>
      </c>
      <c r="W68" s="12">
        <v>0</v>
      </c>
      <c r="X68" s="12" t="s">
        <v>129</v>
      </c>
      <c r="Y68" s="17" t="s">
        <v>298</v>
      </c>
    </row>
    <row r="69" spans="5:25" s="113" customFormat="1" ht="15.75" thickBot="1">
      <c r="E69" s="75" t="s">
        <v>270</v>
      </c>
      <c r="F69" s="75">
        <v>637</v>
      </c>
      <c r="G69" s="76" t="s">
        <v>301</v>
      </c>
      <c r="H69" s="77">
        <v>2492</v>
      </c>
      <c r="I69" s="77" t="s">
        <v>297</v>
      </c>
      <c r="J69" s="77" t="s">
        <v>21</v>
      </c>
      <c r="K69" s="77">
        <v>37</v>
      </c>
      <c r="L69" s="119">
        <v>46081</v>
      </c>
      <c r="M69" s="46">
        <v>0.94097222222222221</v>
      </c>
      <c r="N69" s="45">
        <v>46082</v>
      </c>
      <c r="O69" s="46">
        <v>7.3611111111111113E-2</v>
      </c>
      <c r="P69" s="45">
        <v>46082</v>
      </c>
      <c r="Q69" s="46">
        <v>0.67847222222222225</v>
      </c>
      <c r="R69" s="45">
        <v>46082</v>
      </c>
      <c r="S69" s="46">
        <v>0.71597222222222223</v>
      </c>
      <c r="T69" s="88">
        <f t="shared" si="3"/>
        <v>7.3611111111111113E-2</v>
      </c>
      <c r="U69" s="77">
        <v>0</v>
      </c>
      <c r="V69" s="77">
        <v>0</v>
      </c>
      <c r="W69" s="77">
        <v>1</v>
      </c>
      <c r="X69" s="77" t="s">
        <v>129</v>
      </c>
      <c r="Y69" s="76" t="s">
        <v>300</v>
      </c>
    </row>
    <row r="70" spans="5:25" ht="15">
      <c r="E70" s="79" t="s">
        <v>23</v>
      </c>
      <c r="F70" s="79">
        <v>638</v>
      </c>
      <c r="G70" s="72" t="s">
        <v>306</v>
      </c>
      <c r="H70" s="19">
        <v>1293</v>
      </c>
      <c r="I70" s="19" t="s">
        <v>283</v>
      </c>
      <c r="J70" s="12" t="s">
        <v>21</v>
      </c>
      <c r="K70" s="12">
        <v>37</v>
      </c>
      <c r="L70" s="37">
        <v>46082</v>
      </c>
      <c r="M70" s="105">
        <v>0.78194444444444444</v>
      </c>
      <c r="N70" s="37">
        <v>46082</v>
      </c>
      <c r="O70" s="105">
        <v>0.91666666666666663</v>
      </c>
      <c r="P70" s="37">
        <v>46083</v>
      </c>
      <c r="Q70" s="105">
        <v>0.24374999999999999</v>
      </c>
      <c r="R70" s="37">
        <v>46083</v>
      </c>
      <c r="S70" s="74">
        <v>0.28819444444444442</v>
      </c>
      <c r="T70" s="73">
        <f>O70+(D70/24)</f>
        <v>0.91666666666666663</v>
      </c>
      <c r="U70" s="19">
        <v>0</v>
      </c>
      <c r="V70" s="19">
        <v>1</v>
      </c>
      <c r="W70" s="19">
        <v>0</v>
      </c>
      <c r="X70" s="19" t="s">
        <v>129</v>
      </c>
      <c r="Y70" s="72" t="s">
        <v>305</v>
      </c>
    </row>
    <row r="71" spans="5:25" ht="28.5">
      <c r="E71" s="60" t="s">
        <v>23</v>
      </c>
      <c r="F71" s="60">
        <v>639</v>
      </c>
      <c r="G71" s="121" t="s">
        <v>302</v>
      </c>
      <c r="H71" s="19">
        <v>1747</v>
      </c>
      <c r="I71" s="19" t="s">
        <v>297</v>
      </c>
      <c r="J71" s="71" t="s">
        <v>303</v>
      </c>
      <c r="K71" s="110" t="s">
        <v>304</v>
      </c>
      <c r="L71" s="80">
        <v>46083</v>
      </c>
      <c r="M71" s="74">
        <v>0.37152777777777779</v>
      </c>
      <c r="N71" s="80">
        <v>46083</v>
      </c>
      <c r="O71" s="74">
        <v>0.50208333333333333</v>
      </c>
      <c r="P71" s="80">
        <v>46083</v>
      </c>
      <c r="Q71" s="74">
        <v>0.93541666666666667</v>
      </c>
      <c r="R71" s="80">
        <v>46083</v>
      </c>
      <c r="S71" s="18">
        <v>0.97291666666666665</v>
      </c>
      <c r="T71" s="73">
        <f>O71+(D71/24)</f>
        <v>0.50208333333333333</v>
      </c>
      <c r="U71" s="12">
        <v>0</v>
      </c>
      <c r="V71" s="12">
        <v>1</v>
      </c>
      <c r="W71" s="12">
        <v>0</v>
      </c>
      <c r="X71" s="12" t="s">
        <v>129</v>
      </c>
      <c r="Y71" s="17"/>
    </row>
    <row r="72" spans="5:25" ht="15">
      <c r="E72" s="60" t="s">
        <v>23</v>
      </c>
      <c r="F72" s="60">
        <v>640</v>
      </c>
      <c r="G72" s="17" t="s">
        <v>310</v>
      </c>
      <c r="H72" s="12">
        <v>2293</v>
      </c>
      <c r="I72" s="12" t="s">
        <v>308</v>
      </c>
      <c r="J72" s="12" t="s">
        <v>21</v>
      </c>
      <c r="K72" s="12">
        <v>37</v>
      </c>
      <c r="L72" s="80">
        <v>46084</v>
      </c>
      <c r="M72" s="18">
        <v>6.7361111111111108E-2</v>
      </c>
      <c r="N72" s="80">
        <v>46084</v>
      </c>
      <c r="O72" s="18">
        <v>0.19722222222222222</v>
      </c>
      <c r="P72" s="80">
        <v>46084</v>
      </c>
      <c r="Q72" s="18">
        <v>0.75555555555555554</v>
      </c>
      <c r="R72" s="80">
        <v>46084</v>
      </c>
      <c r="S72" s="18">
        <v>0.79374999999999996</v>
      </c>
      <c r="T72" s="73">
        <f t="shared" ref="T72:T76" si="4">O72+(D72/24)</f>
        <v>0.19722222222222222</v>
      </c>
      <c r="U72" s="12">
        <v>0</v>
      </c>
      <c r="V72" s="12">
        <v>0</v>
      </c>
      <c r="W72" s="12">
        <v>0</v>
      </c>
      <c r="X72" s="12" t="s">
        <v>129</v>
      </c>
      <c r="Y72" s="17" t="s">
        <v>307</v>
      </c>
    </row>
    <row r="73" spans="5:25" ht="15">
      <c r="E73" s="60" t="s">
        <v>23</v>
      </c>
      <c r="F73" s="60">
        <v>641</v>
      </c>
      <c r="G73" s="17" t="s">
        <v>311</v>
      </c>
      <c r="H73" s="12">
        <v>1894</v>
      </c>
      <c r="I73" s="12"/>
      <c r="J73" s="12" t="s">
        <v>21</v>
      </c>
      <c r="K73" s="12">
        <v>37</v>
      </c>
      <c r="L73" s="80">
        <v>46084</v>
      </c>
      <c r="M73" s="18">
        <v>0.87986111111111109</v>
      </c>
      <c r="N73" s="80">
        <v>46085</v>
      </c>
      <c r="O73" s="18">
        <v>2.1527777777777778E-2</v>
      </c>
      <c r="P73" s="80">
        <v>46085</v>
      </c>
      <c r="Q73" s="18">
        <v>0.48680555555555555</v>
      </c>
      <c r="R73" s="80">
        <v>46085</v>
      </c>
      <c r="S73" s="18">
        <v>0.52569444444444446</v>
      </c>
      <c r="T73" s="73">
        <f t="shared" si="4"/>
        <v>2.1527777777777778E-2</v>
      </c>
      <c r="U73" s="12">
        <v>0</v>
      </c>
      <c r="V73" s="12">
        <v>0</v>
      </c>
      <c r="W73" s="12">
        <v>0</v>
      </c>
      <c r="X73" s="12" t="s">
        <v>129</v>
      </c>
      <c r="Y73" s="17" t="s">
        <v>312</v>
      </c>
    </row>
    <row r="74" spans="5:25" ht="15">
      <c r="E74" s="60" t="s">
        <v>23</v>
      </c>
      <c r="F74" s="60">
        <v>642</v>
      </c>
      <c r="G74" s="17" t="s">
        <v>309</v>
      </c>
      <c r="H74" s="12">
        <v>2500</v>
      </c>
      <c r="I74" s="12" t="s">
        <v>290</v>
      </c>
      <c r="J74" s="12" t="s">
        <v>21</v>
      </c>
      <c r="K74" s="12">
        <v>37</v>
      </c>
      <c r="L74" s="80">
        <v>46085</v>
      </c>
      <c r="M74" s="18">
        <v>0.63472222222222219</v>
      </c>
      <c r="N74" s="80">
        <v>46085</v>
      </c>
      <c r="O74" s="18">
        <v>0.77847222222222223</v>
      </c>
      <c r="P74" s="80">
        <v>46086</v>
      </c>
      <c r="Q74" s="18">
        <v>0.38472222222222224</v>
      </c>
      <c r="R74" s="80">
        <v>46086</v>
      </c>
      <c r="S74" s="18">
        <v>0.41736111111111113</v>
      </c>
      <c r="T74" s="73">
        <f t="shared" si="4"/>
        <v>0.77847222222222223</v>
      </c>
      <c r="U74" s="12">
        <v>0</v>
      </c>
      <c r="V74" s="12">
        <v>0</v>
      </c>
      <c r="W74" s="12">
        <v>1</v>
      </c>
      <c r="X74" s="12" t="s">
        <v>129</v>
      </c>
      <c r="Y74" s="17" t="s">
        <v>313</v>
      </c>
    </row>
    <row r="75" spans="5:25" ht="15">
      <c r="E75" s="60" t="s">
        <v>23</v>
      </c>
      <c r="F75" s="60">
        <v>643</v>
      </c>
      <c r="G75" s="17" t="s">
        <v>314</v>
      </c>
      <c r="H75" s="12">
        <v>1920</v>
      </c>
      <c r="I75" s="12" t="s">
        <v>315</v>
      </c>
      <c r="J75" s="12" t="s">
        <v>21</v>
      </c>
      <c r="K75" s="12">
        <v>37</v>
      </c>
      <c r="L75" s="80">
        <v>46086</v>
      </c>
      <c r="M75" s="18">
        <v>0.5</v>
      </c>
      <c r="N75" s="80">
        <v>46086</v>
      </c>
      <c r="O75" s="18">
        <v>0.69861111111111107</v>
      </c>
      <c r="P75" s="80">
        <v>46086</v>
      </c>
      <c r="Q75" s="18">
        <v>0.71250000000000002</v>
      </c>
      <c r="R75" s="80">
        <v>46086</v>
      </c>
      <c r="S75" s="18">
        <v>0.74791666666666667</v>
      </c>
      <c r="T75" s="73">
        <f t="shared" si="4"/>
        <v>0.69861111111111107</v>
      </c>
      <c r="U75" s="12">
        <v>0</v>
      </c>
      <c r="V75" s="12">
        <v>0</v>
      </c>
      <c r="W75" s="12">
        <v>0</v>
      </c>
      <c r="X75" s="12" t="s">
        <v>129</v>
      </c>
      <c r="Y75" s="163" t="s">
        <v>316</v>
      </c>
    </row>
    <row r="76" spans="5:25" ht="15">
      <c r="E76" s="60" t="s">
        <v>23</v>
      </c>
      <c r="F76" s="60">
        <v>644</v>
      </c>
      <c r="G76" s="17" t="s">
        <v>317</v>
      </c>
      <c r="H76" s="12">
        <v>1893</v>
      </c>
      <c r="I76" s="12" t="s">
        <v>318</v>
      </c>
      <c r="J76" s="12" t="s">
        <v>21</v>
      </c>
      <c r="K76" s="12">
        <v>37</v>
      </c>
      <c r="L76" s="80">
        <v>46086</v>
      </c>
      <c r="M76" s="18">
        <v>0.79722222222222228</v>
      </c>
      <c r="N76" s="80">
        <v>46086</v>
      </c>
      <c r="O76" s="18">
        <v>0.90763888888888888</v>
      </c>
      <c r="P76" s="80">
        <v>46087</v>
      </c>
      <c r="Q76" s="18">
        <v>0.37361111111111112</v>
      </c>
      <c r="R76" s="80">
        <v>46087</v>
      </c>
      <c r="S76" s="18">
        <v>0.40902777777777777</v>
      </c>
      <c r="T76" s="73">
        <f t="shared" si="4"/>
        <v>0.90763888888888888</v>
      </c>
      <c r="U76" s="12">
        <v>0</v>
      </c>
      <c r="V76" s="12">
        <v>0</v>
      </c>
      <c r="W76" s="12">
        <v>0</v>
      </c>
      <c r="X76" s="12" t="s">
        <v>129</v>
      </c>
      <c r="Y76" s="17"/>
    </row>
    <row r="77" spans="5:25" ht="15">
      <c r="E77" s="60" t="s">
        <v>23</v>
      </c>
      <c r="F77" s="60">
        <v>645</v>
      </c>
      <c r="G77" s="17" t="s">
        <v>320</v>
      </c>
      <c r="H77" s="12">
        <f>453+1911</f>
        <v>2364</v>
      </c>
      <c r="I77" s="12"/>
      <c r="J77" s="12" t="s">
        <v>21</v>
      </c>
      <c r="K77" s="12">
        <v>37</v>
      </c>
      <c r="L77" s="80">
        <v>46087</v>
      </c>
      <c r="M77" s="18">
        <v>0.64444444444444449</v>
      </c>
      <c r="N77" s="80">
        <v>46087</v>
      </c>
      <c r="O77" s="18">
        <v>0.80763888888888891</v>
      </c>
      <c r="P77" s="80">
        <v>46088</v>
      </c>
      <c r="Q77" s="18">
        <v>0.38263888888888886</v>
      </c>
      <c r="R77" s="80">
        <v>46088</v>
      </c>
      <c r="S77" s="18">
        <v>0.41805555555555557</v>
      </c>
      <c r="T77" s="73">
        <f t="shared" ref="T77:T107" si="5">O77+(D77/24)</f>
        <v>0.80763888888888891</v>
      </c>
      <c r="U77" s="12">
        <v>0</v>
      </c>
      <c r="V77" s="12">
        <v>0</v>
      </c>
      <c r="W77" s="12">
        <v>0</v>
      </c>
      <c r="X77" s="12" t="s">
        <v>129</v>
      </c>
      <c r="Y77" s="17"/>
    </row>
    <row r="78" spans="5:25" ht="15.75" thickBot="1">
      <c r="E78" s="75" t="s">
        <v>23</v>
      </c>
      <c r="F78" s="75">
        <v>646</v>
      </c>
      <c r="G78" s="76" t="s">
        <v>321</v>
      </c>
      <c r="H78" s="77">
        <f>400+1910</f>
        <v>2310</v>
      </c>
      <c r="I78" s="77"/>
      <c r="J78" s="77" t="s">
        <v>21</v>
      </c>
      <c r="K78" s="77">
        <v>37</v>
      </c>
      <c r="L78" s="45">
        <v>46088</v>
      </c>
      <c r="M78" s="46">
        <v>0.51736111111111116</v>
      </c>
      <c r="N78" s="45">
        <v>46088</v>
      </c>
      <c r="O78" s="46">
        <v>0.64375000000000004</v>
      </c>
      <c r="P78" s="45">
        <v>46089</v>
      </c>
      <c r="Q78" s="46">
        <v>0.2076388888888889</v>
      </c>
      <c r="R78" s="45">
        <v>46089</v>
      </c>
      <c r="S78" s="46">
        <v>0.25277777777777777</v>
      </c>
      <c r="T78" s="78">
        <f t="shared" si="5"/>
        <v>0.64375000000000004</v>
      </c>
      <c r="U78" s="77">
        <v>0</v>
      </c>
      <c r="V78" s="77">
        <v>0</v>
      </c>
      <c r="W78" s="77">
        <v>0</v>
      </c>
      <c r="X78" s="77" t="s">
        <v>129</v>
      </c>
      <c r="Y78" s="164" t="s">
        <v>323</v>
      </c>
    </row>
    <row r="79" spans="5:25" ht="15">
      <c r="E79" s="79" t="s">
        <v>24</v>
      </c>
      <c r="F79" s="79">
        <v>647</v>
      </c>
      <c r="G79" s="72" t="s">
        <v>322</v>
      </c>
      <c r="H79" s="19">
        <f>450+1911</f>
        <v>2361</v>
      </c>
      <c r="I79" s="19" t="s">
        <v>318</v>
      </c>
      <c r="J79" s="19" t="s">
        <v>21</v>
      </c>
      <c r="K79" s="19">
        <v>37</v>
      </c>
      <c r="L79" s="80">
        <v>46089</v>
      </c>
      <c r="M79" s="74">
        <v>0.2951388888888889</v>
      </c>
      <c r="N79" s="80">
        <v>46089</v>
      </c>
      <c r="O79" s="74">
        <v>0.60972222222222228</v>
      </c>
      <c r="P79" s="80">
        <v>46090</v>
      </c>
      <c r="Q79" s="74">
        <v>0.18402777777777779</v>
      </c>
      <c r="R79" s="80">
        <v>46090</v>
      </c>
      <c r="S79" s="74">
        <v>0.22222222222222221</v>
      </c>
      <c r="T79" s="73">
        <f t="shared" si="5"/>
        <v>0.60972222222222228</v>
      </c>
      <c r="U79" s="19">
        <v>0</v>
      </c>
      <c r="V79" s="19">
        <v>0</v>
      </c>
      <c r="W79" s="19">
        <v>0</v>
      </c>
      <c r="X79" s="19" t="s">
        <v>129</v>
      </c>
      <c r="Y79" s="72" t="s">
        <v>327</v>
      </c>
    </row>
    <row r="80" spans="5:25" ht="15">
      <c r="E80" s="79" t="s">
        <v>24</v>
      </c>
      <c r="F80" s="60">
        <v>648</v>
      </c>
      <c r="G80" s="17" t="s">
        <v>326</v>
      </c>
      <c r="H80" s="12">
        <v>1097</v>
      </c>
      <c r="I80" s="12" t="s">
        <v>290</v>
      </c>
      <c r="J80" s="12" t="s">
        <v>21</v>
      </c>
      <c r="K80" s="12">
        <v>37</v>
      </c>
      <c r="L80" s="80">
        <v>46090</v>
      </c>
      <c r="M80" s="18">
        <v>0.31944444444444442</v>
      </c>
      <c r="N80" s="80">
        <v>46090</v>
      </c>
      <c r="O80" s="18">
        <v>0.46597222222222223</v>
      </c>
      <c r="P80" s="80">
        <v>46090</v>
      </c>
      <c r="Q80" s="18">
        <v>0.73124999999999996</v>
      </c>
      <c r="R80" s="80">
        <v>46090</v>
      </c>
      <c r="S80" s="18">
        <v>0.77222222222222225</v>
      </c>
      <c r="T80" s="73">
        <f t="shared" si="5"/>
        <v>0.46597222222222223</v>
      </c>
      <c r="U80" s="12">
        <v>0</v>
      </c>
      <c r="V80" s="12">
        <v>0</v>
      </c>
      <c r="W80" s="12">
        <v>0</v>
      </c>
      <c r="X80" s="12" t="s">
        <v>129</v>
      </c>
      <c r="Y80" s="17" t="s">
        <v>325</v>
      </c>
    </row>
    <row r="81" spans="5:25" ht="15">
      <c r="E81" s="79" t="s">
        <v>24</v>
      </c>
      <c r="F81" s="125">
        <v>649</v>
      </c>
      <c r="G81" s="55" t="s">
        <v>328</v>
      </c>
      <c r="H81" s="49">
        <v>569</v>
      </c>
      <c r="I81" s="49" t="s">
        <v>290</v>
      </c>
      <c r="J81" s="49" t="s">
        <v>21</v>
      </c>
      <c r="K81" s="49">
        <v>37</v>
      </c>
      <c r="L81" s="126">
        <v>46090</v>
      </c>
      <c r="M81" s="96">
        <v>0.86805555555555558</v>
      </c>
      <c r="N81" s="126">
        <v>46090</v>
      </c>
      <c r="O81" s="96">
        <v>0.98958333333333337</v>
      </c>
      <c r="P81" s="126">
        <v>46091</v>
      </c>
      <c r="Q81" s="96">
        <v>0.38819444444444445</v>
      </c>
      <c r="R81" s="126">
        <v>46091</v>
      </c>
      <c r="S81" s="96">
        <v>0.40208333333333335</v>
      </c>
      <c r="T81" s="127">
        <f t="shared" si="5"/>
        <v>0.98958333333333337</v>
      </c>
      <c r="U81" s="49">
        <v>0</v>
      </c>
      <c r="V81" s="49">
        <v>0</v>
      </c>
      <c r="W81" s="49">
        <v>0</v>
      </c>
      <c r="X81" s="49" t="s">
        <v>129</v>
      </c>
      <c r="Y81" s="165" t="s">
        <v>206</v>
      </c>
    </row>
    <row r="82" spans="5:25" ht="29.25">
      <c r="E82" s="79" t="s">
        <v>24</v>
      </c>
      <c r="F82" s="60">
        <v>650</v>
      </c>
      <c r="G82" s="17" t="s">
        <v>329</v>
      </c>
      <c r="H82" s="12">
        <f>2013+350</f>
        <v>2363</v>
      </c>
      <c r="I82" s="12" t="s">
        <v>331</v>
      </c>
      <c r="J82" s="12" t="s">
        <v>21</v>
      </c>
      <c r="K82" s="12">
        <v>37</v>
      </c>
      <c r="L82" s="80">
        <v>46092</v>
      </c>
      <c r="M82" s="18">
        <v>0.10416666666666667</v>
      </c>
      <c r="N82" s="80">
        <v>46092</v>
      </c>
      <c r="O82" s="18">
        <v>0.20624999999999999</v>
      </c>
      <c r="P82" s="133">
        <v>46092</v>
      </c>
      <c r="Q82" s="134">
        <v>0.78055555555555556</v>
      </c>
      <c r="R82" s="133">
        <v>46092</v>
      </c>
      <c r="S82" s="134">
        <v>0.81666666666666665</v>
      </c>
      <c r="T82" s="73">
        <f t="shared" si="5"/>
        <v>0.20624999999999999</v>
      </c>
      <c r="U82" s="132">
        <v>2</v>
      </c>
      <c r="V82" s="132">
        <v>0</v>
      </c>
      <c r="W82" s="132">
        <v>0</v>
      </c>
      <c r="X82" s="97" t="s">
        <v>330</v>
      </c>
      <c r="Y82" s="98" t="s">
        <v>332</v>
      </c>
    </row>
    <row r="83" spans="5:25" ht="15">
      <c r="E83" s="79" t="s">
        <v>24</v>
      </c>
      <c r="F83" s="79">
        <v>651</v>
      </c>
      <c r="G83" s="17" t="s">
        <v>334</v>
      </c>
      <c r="H83" s="12">
        <f>500+1898</f>
        <v>2398</v>
      </c>
      <c r="I83" s="12"/>
      <c r="J83" s="12" t="s">
        <v>21</v>
      </c>
      <c r="K83" s="12">
        <v>37</v>
      </c>
      <c r="L83" s="80">
        <v>46092</v>
      </c>
      <c r="M83" s="18">
        <v>0.90069444444444446</v>
      </c>
      <c r="N83" s="80">
        <v>46093</v>
      </c>
      <c r="O83" s="18">
        <v>6.5277777777777782E-2</v>
      </c>
      <c r="P83" s="133">
        <v>46093</v>
      </c>
      <c r="Q83" s="134">
        <v>0.6479166666666667</v>
      </c>
      <c r="R83" s="133">
        <v>46093</v>
      </c>
      <c r="S83" s="134">
        <v>0.6875</v>
      </c>
      <c r="T83" s="73">
        <f t="shared" si="5"/>
        <v>6.5277777777777782E-2</v>
      </c>
      <c r="U83" s="132">
        <v>2</v>
      </c>
      <c r="V83" s="132">
        <v>0</v>
      </c>
      <c r="W83" s="132">
        <v>0</v>
      </c>
      <c r="X83" s="12" t="s">
        <v>330</v>
      </c>
      <c r="Y83" s="17"/>
    </row>
    <row r="84" spans="5:25" ht="15">
      <c r="E84" s="79" t="s">
        <v>24</v>
      </c>
      <c r="F84" s="60">
        <v>652</v>
      </c>
      <c r="G84" s="17" t="s">
        <v>335</v>
      </c>
      <c r="H84" s="12">
        <f>1868+500</f>
        <v>2368</v>
      </c>
      <c r="I84" s="12"/>
      <c r="J84" s="12" t="s">
        <v>21</v>
      </c>
      <c r="K84" s="12">
        <v>37</v>
      </c>
      <c r="L84" s="80">
        <v>46094</v>
      </c>
      <c r="M84" s="18">
        <v>0.14583333333333334</v>
      </c>
      <c r="N84" s="80">
        <v>46094</v>
      </c>
      <c r="O84" s="18">
        <v>0.24930555555555556</v>
      </c>
      <c r="P84" s="80">
        <v>46094</v>
      </c>
      <c r="Q84" s="18">
        <v>0.82499999999999996</v>
      </c>
      <c r="R84" s="80">
        <v>46094</v>
      </c>
      <c r="S84" s="18">
        <v>0.86111111111111116</v>
      </c>
      <c r="T84" s="73">
        <f t="shared" si="5"/>
        <v>0.24930555555555556</v>
      </c>
      <c r="U84" s="132">
        <v>0</v>
      </c>
      <c r="V84" s="132">
        <v>0</v>
      </c>
      <c r="W84" s="132">
        <v>0</v>
      </c>
      <c r="X84" s="97" t="s">
        <v>129</v>
      </c>
      <c r="Y84" s="98" t="s">
        <v>341</v>
      </c>
    </row>
    <row r="85" spans="5:25" ht="15">
      <c r="E85" s="79" t="s">
        <v>24</v>
      </c>
      <c r="F85" s="79">
        <v>653</v>
      </c>
      <c r="G85" s="17" t="s">
        <v>336</v>
      </c>
      <c r="H85" s="12">
        <f>390+1844</f>
        <v>2234</v>
      </c>
      <c r="I85" s="12"/>
      <c r="J85" s="12" t="s">
        <v>21</v>
      </c>
      <c r="K85" s="12">
        <v>37</v>
      </c>
      <c r="L85" s="80">
        <v>46095</v>
      </c>
      <c r="M85" s="18">
        <v>3.6805555555555557E-2</v>
      </c>
      <c r="N85" s="80">
        <v>46095</v>
      </c>
      <c r="O85" s="18">
        <v>0.14861111111111111</v>
      </c>
      <c r="P85" s="80">
        <v>46095</v>
      </c>
      <c r="Q85" s="18">
        <v>0.69305555555555554</v>
      </c>
      <c r="R85" s="80">
        <v>46095</v>
      </c>
      <c r="S85" s="18">
        <v>0.73819444444444449</v>
      </c>
      <c r="T85" s="73">
        <f t="shared" si="5"/>
        <v>0.14861111111111111</v>
      </c>
      <c r="U85" s="132">
        <v>0</v>
      </c>
      <c r="V85" s="132">
        <v>0</v>
      </c>
      <c r="W85" s="132">
        <v>0</v>
      </c>
      <c r="X85" s="12" t="s">
        <v>129</v>
      </c>
      <c r="Y85" s="17" t="s">
        <v>342</v>
      </c>
    </row>
    <row r="86" spans="5:25" ht="15.75" thickBot="1">
      <c r="E86" s="75" t="s">
        <v>24</v>
      </c>
      <c r="F86" s="75">
        <v>654</v>
      </c>
      <c r="G86" s="76" t="s">
        <v>337</v>
      </c>
      <c r="H86" s="77">
        <f>390+1897</f>
        <v>2287</v>
      </c>
      <c r="I86" s="77"/>
      <c r="J86" s="77" t="s">
        <v>21</v>
      </c>
      <c r="K86" s="77">
        <v>37</v>
      </c>
      <c r="L86" s="45">
        <v>46095</v>
      </c>
      <c r="M86" s="46">
        <v>0.78402777777777777</v>
      </c>
      <c r="N86" s="45">
        <v>46095</v>
      </c>
      <c r="O86" s="46">
        <v>0.92291666666666672</v>
      </c>
      <c r="P86" s="45">
        <v>46096</v>
      </c>
      <c r="Q86" s="46">
        <v>0.47986111111111113</v>
      </c>
      <c r="R86" s="45">
        <v>46096</v>
      </c>
      <c r="S86" s="46">
        <v>0.51388888888888884</v>
      </c>
      <c r="T86" s="78">
        <f t="shared" si="5"/>
        <v>0.92291666666666672</v>
      </c>
      <c r="U86" s="77">
        <v>0</v>
      </c>
      <c r="V86" s="77">
        <v>0</v>
      </c>
      <c r="W86" s="77">
        <v>1</v>
      </c>
      <c r="X86" s="77" t="s">
        <v>129</v>
      </c>
      <c r="Y86" s="76" t="s">
        <v>343</v>
      </c>
    </row>
    <row r="87" spans="5:25" ht="15">
      <c r="E87" s="79" t="s">
        <v>25</v>
      </c>
      <c r="F87" s="79">
        <v>655</v>
      </c>
      <c r="G87" s="72" t="s">
        <v>338</v>
      </c>
      <c r="H87" s="19">
        <v>1910</v>
      </c>
      <c r="I87" s="19" t="s">
        <v>308</v>
      </c>
      <c r="J87" s="19" t="s">
        <v>21</v>
      </c>
      <c r="K87" s="19">
        <v>37</v>
      </c>
      <c r="L87" s="80">
        <v>46096</v>
      </c>
      <c r="M87" s="74">
        <v>0.64375000000000004</v>
      </c>
      <c r="N87" s="80">
        <v>46096</v>
      </c>
      <c r="O87" s="74">
        <v>0.75277777777777777</v>
      </c>
      <c r="P87" s="80">
        <v>46097</v>
      </c>
      <c r="Q87" s="74">
        <v>0.22291666666666668</v>
      </c>
      <c r="R87" s="80">
        <v>46097</v>
      </c>
      <c r="S87" s="74">
        <v>0.30138888888888887</v>
      </c>
      <c r="T87" s="73">
        <f t="shared" si="5"/>
        <v>0.75277777777777777</v>
      </c>
      <c r="U87" s="19">
        <v>0</v>
      </c>
      <c r="V87" s="19">
        <v>0</v>
      </c>
      <c r="W87" s="19">
        <v>0</v>
      </c>
      <c r="X87" s="19" t="s">
        <v>129</v>
      </c>
      <c r="Y87" s="72"/>
    </row>
    <row r="88" spans="5:25" ht="15">
      <c r="E88" s="60" t="s">
        <v>25</v>
      </c>
      <c r="F88" s="60">
        <v>656</v>
      </c>
      <c r="G88" s="17" t="s">
        <v>339</v>
      </c>
      <c r="H88" s="12">
        <f>1876+607</f>
        <v>2483</v>
      </c>
      <c r="I88" s="12" t="s">
        <v>315</v>
      </c>
      <c r="J88" s="12" t="s">
        <v>21</v>
      </c>
      <c r="K88" s="12">
        <v>37</v>
      </c>
      <c r="L88" s="80">
        <v>46097</v>
      </c>
      <c r="M88" s="18">
        <v>0.44374999999999998</v>
      </c>
      <c r="N88" s="80">
        <v>46097</v>
      </c>
      <c r="O88" s="18">
        <v>0.66666666666666663</v>
      </c>
      <c r="P88" s="80">
        <v>46098</v>
      </c>
      <c r="Q88" s="18">
        <v>0.26874999999999999</v>
      </c>
      <c r="R88" s="80">
        <v>46098</v>
      </c>
      <c r="S88" s="18">
        <v>0.3298611111111111</v>
      </c>
      <c r="T88" s="73">
        <f t="shared" si="5"/>
        <v>0.66666666666666663</v>
      </c>
      <c r="U88" s="12">
        <v>1</v>
      </c>
      <c r="V88" s="12">
        <v>0</v>
      </c>
      <c r="W88" s="12">
        <v>0</v>
      </c>
      <c r="X88" s="12" t="s">
        <v>129</v>
      </c>
      <c r="Y88" s="17" t="s">
        <v>340</v>
      </c>
    </row>
    <row r="89" spans="5:25" ht="28.5">
      <c r="E89" s="60" t="s">
        <v>25</v>
      </c>
      <c r="F89" s="60">
        <v>657</v>
      </c>
      <c r="G89" s="17" t="s">
        <v>344</v>
      </c>
      <c r="H89" s="12"/>
      <c r="I89" s="12"/>
      <c r="J89" s="12" t="s">
        <v>345</v>
      </c>
      <c r="K89" s="12">
        <v>100</v>
      </c>
      <c r="L89" s="80">
        <v>46098</v>
      </c>
      <c r="M89" s="18">
        <v>0.42222222222222222</v>
      </c>
      <c r="N89" s="80">
        <v>46098</v>
      </c>
      <c r="O89" s="18">
        <v>0.72083333333333333</v>
      </c>
      <c r="P89" s="80">
        <v>46099</v>
      </c>
      <c r="Q89" s="18">
        <v>2.9166666666666667E-2</v>
      </c>
      <c r="R89" s="80">
        <v>46099</v>
      </c>
      <c r="S89" s="18">
        <v>8.4722222222222227E-2</v>
      </c>
      <c r="T89" s="73">
        <f t="shared" si="5"/>
        <v>0.72083333333333333</v>
      </c>
      <c r="U89" s="12">
        <v>2</v>
      </c>
      <c r="V89" s="12">
        <v>0</v>
      </c>
      <c r="W89" s="12">
        <v>0</v>
      </c>
      <c r="X89" s="12" t="s">
        <v>129</v>
      </c>
      <c r="Y89" s="17" t="s">
        <v>349</v>
      </c>
    </row>
    <row r="90" spans="5:25" ht="15">
      <c r="E90" s="60" t="s">
        <v>25</v>
      </c>
      <c r="F90" s="60">
        <v>658</v>
      </c>
      <c r="G90" s="17" t="s">
        <v>346</v>
      </c>
      <c r="H90" s="12"/>
      <c r="I90" s="12" t="s">
        <v>297</v>
      </c>
      <c r="J90" s="12" t="s">
        <v>21</v>
      </c>
      <c r="K90" s="12" t="s">
        <v>347</v>
      </c>
      <c r="L90" s="80">
        <v>46099</v>
      </c>
      <c r="M90" s="18">
        <v>0.49930555555555556</v>
      </c>
      <c r="N90" s="80">
        <v>46099</v>
      </c>
      <c r="O90" s="18">
        <v>0.61319444444444449</v>
      </c>
      <c r="P90" s="80">
        <v>46099</v>
      </c>
      <c r="Q90" s="18">
        <v>0.97916666666666663</v>
      </c>
      <c r="R90" s="80">
        <v>46100</v>
      </c>
      <c r="S90" s="18">
        <v>6.9444444444444441E-3</v>
      </c>
      <c r="T90" s="73">
        <f t="shared" si="5"/>
        <v>0.61319444444444449</v>
      </c>
      <c r="U90" s="12">
        <v>0</v>
      </c>
      <c r="V90" s="12">
        <v>0</v>
      </c>
      <c r="W90" s="12">
        <v>0</v>
      </c>
      <c r="X90" s="12" t="s">
        <v>129</v>
      </c>
      <c r="Y90" s="17" t="s">
        <v>348</v>
      </c>
    </row>
    <row r="91" spans="5:25" ht="28.5">
      <c r="E91" s="60" t="s">
        <v>25</v>
      </c>
      <c r="F91" s="60">
        <v>659</v>
      </c>
      <c r="G91" s="17" t="s">
        <v>351</v>
      </c>
      <c r="H91" s="12"/>
      <c r="I91" s="12"/>
      <c r="J91" s="12"/>
      <c r="K91" s="12"/>
      <c r="L91" s="80">
        <v>46100</v>
      </c>
      <c r="M91" s="18">
        <v>0.34166666666666667</v>
      </c>
      <c r="N91" s="80">
        <v>46100</v>
      </c>
      <c r="O91" s="18">
        <v>0.46666666666666667</v>
      </c>
      <c r="P91" s="80">
        <v>46100</v>
      </c>
      <c r="Q91" s="18">
        <v>0.97847222222222219</v>
      </c>
      <c r="R91" s="80">
        <v>46101</v>
      </c>
      <c r="S91" s="18">
        <v>1.3888888888888888E-2</v>
      </c>
      <c r="T91" s="73">
        <f t="shared" si="5"/>
        <v>0.46666666666666667</v>
      </c>
      <c r="U91" s="12">
        <v>0</v>
      </c>
      <c r="V91" s="12">
        <v>3</v>
      </c>
      <c r="W91" s="12">
        <v>0</v>
      </c>
      <c r="X91" s="12" t="s">
        <v>129</v>
      </c>
      <c r="Y91" s="17"/>
    </row>
    <row r="92" spans="5:25" ht="15">
      <c r="E92" s="60" t="s">
        <v>25</v>
      </c>
      <c r="F92" s="60">
        <v>660</v>
      </c>
      <c r="G92" s="17" t="s">
        <v>352</v>
      </c>
      <c r="H92" s="12">
        <v>2288</v>
      </c>
      <c r="I92" s="12" t="s">
        <v>353</v>
      </c>
      <c r="J92" s="12" t="s">
        <v>21</v>
      </c>
      <c r="K92" s="12" t="s">
        <v>354</v>
      </c>
      <c r="L92" s="80">
        <v>46101</v>
      </c>
      <c r="M92" s="18">
        <v>0.16805555555555557</v>
      </c>
      <c r="N92" s="80">
        <v>46101</v>
      </c>
      <c r="O92" s="18">
        <v>0.30138888888888887</v>
      </c>
      <c r="P92" s="80">
        <v>46101</v>
      </c>
      <c r="Q92" s="18">
        <v>0.85902777777777772</v>
      </c>
      <c r="R92" s="80">
        <v>46101</v>
      </c>
      <c r="S92" s="18">
        <v>0.89583333333333337</v>
      </c>
      <c r="T92" s="73">
        <f t="shared" si="5"/>
        <v>0.30138888888888887</v>
      </c>
      <c r="U92" s="12">
        <v>0</v>
      </c>
      <c r="V92" s="12">
        <v>0</v>
      </c>
      <c r="W92" s="12">
        <v>0</v>
      </c>
      <c r="X92" s="12" t="s">
        <v>129</v>
      </c>
      <c r="Y92" s="17" t="s">
        <v>355</v>
      </c>
    </row>
    <row r="93" spans="5:25" ht="15">
      <c r="E93" s="60" t="s">
        <v>25</v>
      </c>
      <c r="F93" s="60">
        <v>661</v>
      </c>
      <c r="G93" s="17" t="s">
        <v>356</v>
      </c>
      <c r="H93" s="12">
        <f>1905+373</f>
        <v>2278</v>
      </c>
      <c r="I93" s="12" t="s">
        <v>308</v>
      </c>
      <c r="J93" s="12" t="s">
        <v>21</v>
      </c>
      <c r="K93" s="12">
        <v>37</v>
      </c>
      <c r="L93" s="80">
        <v>46102</v>
      </c>
      <c r="M93" s="18">
        <v>1.3888888888888889E-3</v>
      </c>
      <c r="N93" s="80">
        <v>46102</v>
      </c>
      <c r="O93" s="18">
        <v>0.10069444444444445</v>
      </c>
      <c r="P93" s="80">
        <v>46102</v>
      </c>
      <c r="Q93" s="18">
        <v>0.75</v>
      </c>
      <c r="R93" s="80">
        <v>46102</v>
      </c>
      <c r="S93" s="18">
        <v>0.78194444444444444</v>
      </c>
      <c r="T93" s="73">
        <f t="shared" si="5"/>
        <v>0.10069444444444445</v>
      </c>
      <c r="U93" s="12">
        <v>0</v>
      </c>
      <c r="V93" s="12">
        <v>0</v>
      </c>
      <c r="W93" s="12">
        <v>0</v>
      </c>
      <c r="X93" s="12" t="s">
        <v>129</v>
      </c>
      <c r="Y93" s="17"/>
    </row>
    <row r="94" spans="5:25" ht="15.75" thickBot="1">
      <c r="E94" s="75" t="s">
        <v>25</v>
      </c>
      <c r="F94" s="75">
        <v>662</v>
      </c>
      <c r="G94" s="76" t="s">
        <v>357</v>
      </c>
      <c r="H94" s="77">
        <f>2028+198</f>
        <v>2226</v>
      </c>
      <c r="I94" s="77" t="s">
        <v>285</v>
      </c>
      <c r="J94" s="77" t="s">
        <v>21</v>
      </c>
      <c r="K94" s="77">
        <v>37</v>
      </c>
      <c r="L94" s="45">
        <v>46102</v>
      </c>
      <c r="M94" s="46">
        <v>0.85416666666666663</v>
      </c>
      <c r="N94" s="45">
        <v>46102</v>
      </c>
      <c r="O94" s="46">
        <v>0.98958333333333337</v>
      </c>
      <c r="P94" s="45">
        <v>46103</v>
      </c>
      <c r="Q94" s="46">
        <v>0.53472222222222221</v>
      </c>
      <c r="R94" s="45">
        <v>46103</v>
      </c>
      <c r="S94" s="46">
        <v>0.56874999999999998</v>
      </c>
      <c r="T94" s="78">
        <f t="shared" si="5"/>
        <v>0.98958333333333337</v>
      </c>
      <c r="U94" s="77">
        <v>0</v>
      </c>
      <c r="V94" s="77">
        <v>0</v>
      </c>
      <c r="W94" s="77">
        <v>0</v>
      </c>
      <c r="X94" s="77" t="s">
        <v>129</v>
      </c>
      <c r="Y94" s="76" t="s">
        <v>359</v>
      </c>
    </row>
    <row r="95" spans="5:25" ht="28.5">
      <c r="E95" s="79" t="s">
        <v>26</v>
      </c>
      <c r="F95" s="79">
        <v>663</v>
      </c>
      <c r="G95" s="72" t="s">
        <v>358</v>
      </c>
      <c r="H95" s="19">
        <v>2421</v>
      </c>
      <c r="I95" s="19" t="s">
        <v>292</v>
      </c>
      <c r="J95" s="19" t="s">
        <v>21</v>
      </c>
      <c r="K95" s="19">
        <v>37</v>
      </c>
      <c r="L95" s="80">
        <v>46103</v>
      </c>
      <c r="M95" s="74">
        <v>0.69444444444444442</v>
      </c>
      <c r="N95" s="80">
        <v>46103</v>
      </c>
      <c r="O95" s="74">
        <v>0.83333333333333337</v>
      </c>
      <c r="P95" s="80">
        <v>46104</v>
      </c>
      <c r="Q95" s="74">
        <v>0.42152777777777778</v>
      </c>
      <c r="R95" s="80">
        <v>46104</v>
      </c>
      <c r="S95" s="74">
        <v>0.46041666666666664</v>
      </c>
      <c r="T95" s="73">
        <f t="shared" si="5"/>
        <v>0.83333333333333337</v>
      </c>
      <c r="U95" s="19">
        <v>0</v>
      </c>
      <c r="V95" s="19">
        <v>2</v>
      </c>
      <c r="W95" s="19">
        <v>0</v>
      </c>
      <c r="X95" s="19" t="s">
        <v>129</v>
      </c>
      <c r="Y95" s="72" t="s">
        <v>360</v>
      </c>
    </row>
    <row r="96" spans="5:25" ht="30" customHeight="1">
      <c r="E96" s="60" t="s">
        <v>26</v>
      </c>
      <c r="F96" s="12">
        <v>664</v>
      </c>
      <c r="G96" s="17" t="s">
        <v>363</v>
      </c>
      <c r="H96" s="12">
        <v>1955</v>
      </c>
      <c r="I96" s="12" t="s">
        <v>318</v>
      </c>
      <c r="J96" s="12" t="s">
        <v>21</v>
      </c>
      <c r="K96" s="12" t="s">
        <v>347</v>
      </c>
      <c r="L96" s="80">
        <v>46104</v>
      </c>
      <c r="M96" s="18">
        <v>0.77361111111111114</v>
      </c>
      <c r="N96" s="80">
        <v>46104</v>
      </c>
      <c r="O96" s="18">
        <v>0.86250000000000004</v>
      </c>
      <c r="P96" s="80">
        <v>46105</v>
      </c>
      <c r="Q96" s="18">
        <v>0.34305555555555556</v>
      </c>
      <c r="R96" s="80">
        <v>46105</v>
      </c>
      <c r="S96" s="18">
        <v>0.37708333333333333</v>
      </c>
      <c r="T96" s="73">
        <f t="shared" si="5"/>
        <v>0.86250000000000004</v>
      </c>
      <c r="U96" s="12">
        <v>0</v>
      </c>
      <c r="V96" s="12">
        <v>1</v>
      </c>
      <c r="W96" s="12">
        <v>0</v>
      </c>
      <c r="X96" s="12" t="s">
        <v>129</v>
      </c>
      <c r="Y96" s="17" t="s">
        <v>362</v>
      </c>
    </row>
    <row r="97" spans="5:25" ht="33.75" customHeight="1">
      <c r="E97" s="60" t="s">
        <v>26</v>
      </c>
      <c r="F97" s="12">
        <v>665</v>
      </c>
      <c r="G97" s="17" t="s">
        <v>364</v>
      </c>
      <c r="H97" s="12">
        <v>303</v>
      </c>
      <c r="I97" s="12" t="s">
        <v>315</v>
      </c>
      <c r="J97" s="12" t="s">
        <v>365</v>
      </c>
      <c r="K97" s="12" t="s">
        <v>304</v>
      </c>
      <c r="L97" s="80">
        <v>46105</v>
      </c>
      <c r="M97" s="18">
        <v>0.46875</v>
      </c>
      <c r="N97" s="80">
        <v>46105</v>
      </c>
      <c r="O97" s="18">
        <v>0.59305555555555556</v>
      </c>
      <c r="P97" s="80">
        <v>46105</v>
      </c>
      <c r="Q97" s="18">
        <v>0.83888888888888891</v>
      </c>
      <c r="R97" s="80">
        <v>46105</v>
      </c>
      <c r="S97" s="18">
        <v>0.87708333333333333</v>
      </c>
      <c r="T97" s="73">
        <f t="shared" si="5"/>
        <v>0.59305555555555556</v>
      </c>
      <c r="U97" s="12">
        <v>0</v>
      </c>
      <c r="V97" s="12">
        <v>3</v>
      </c>
      <c r="W97" s="12">
        <v>0</v>
      </c>
      <c r="X97" s="12" t="s">
        <v>129</v>
      </c>
      <c r="Y97" s="17"/>
    </row>
    <row r="98" spans="5:25" ht="15">
      <c r="E98" s="60" t="s">
        <v>26</v>
      </c>
      <c r="F98" s="12">
        <v>666</v>
      </c>
      <c r="G98" s="17" t="s">
        <v>366</v>
      </c>
      <c r="H98" s="12">
        <v>1649</v>
      </c>
      <c r="I98" s="12" t="s">
        <v>308</v>
      </c>
      <c r="J98" s="12" t="s">
        <v>21</v>
      </c>
      <c r="K98" s="12">
        <v>37</v>
      </c>
      <c r="L98" s="80">
        <v>46105</v>
      </c>
      <c r="M98" s="18">
        <v>0.94444444444444442</v>
      </c>
      <c r="N98" s="80">
        <v>46106</v>
      </c>
      <c r="O98" s="18">
        <v>9.930555555555555E-2</v>
      </c>
      <c r="P98" s="80">
        <v>46106</v>
      </c>
      <c r="Q98" s="18">
        <v>0.57291666666666663</v>
      </c>
      <c r="R98" s="80">
        <v>46106</v>
      </c>
      <c r="S98" s="18">
        <v>0.61458333333333337</v>
      </c>
      <c r="T98" s="73">
        <f t="shared" si="5"/>
        <v>9.930555555555555E-2</v>
      </c>
      <c r="U98" s="12">
        <v>0</v>
      </c>
      <c r="V98" s="12">
        <v>2</v>
      </c>
      <c r="W98" s="12">
        <v>0</v>
      </c>
      <c r="X98" s="12" t="s">
        <v>129</v>
      </c>
      <c r="Y98" s="17" t="s">
        <v>367</v>
      </c>
    </row>
    <row r="99" spans="5:25" ht="15">
      <c r="E99" s="60" t="s">
        <v>26</v>
      </c>
      <c r="F99" s="12">
        <v>667</v>
      </c>
      <c r="G99" s="17" t="s">
        <v>368</v>
      </c>
      <c r="H99" s="12">
        <v>1903</v>
      </c>
      <c r="I99" s="12" t="s">
        <v>308</v>
      </c>
      <c r="J99" s="12" t="s">
        <v>21</v>
      </c>
      <c r="K99" s="12">
        <v>37</v>
      </c>
      <c r="L99" s="80">
        <v>46106</v>
      </c>
      <c r="M99" s="18">
        <v>0.6743055555555556</v>
      </c>
      <c r="N99" s="80">
        <v>46106</v>
      </c>
      <c r="O99" s="18">
        <v>0.78749999999999998</v>
      </c>
      <c r="P99" s="80">
        <v>46106</v>
      </c>
      <c r="Q99" s="18">
        <v>0.91736111111111107</v>
      </c>
      <c r="R99" s="80">
        <v>46106</v>
      </c>
      <c r="S99" s="18">
        <v>0.93958333333333333</v>
      </c>
      <c r="T99" s="73">
        <f t="shared" si="5"/>
        <v>0.78749999999999998</v>
      </c>
      <c r="U99" s="12">
        <v>0</v>
      </c>
      <c r="V99" s="12">
        <v>0</v>
      </c>
      <c r="W99" s="12">
        <v>0</v>
      </c>
      <c r="X99" s="12" t="s">
        <v>129</v>
      </c>
      <c r="Y99" s="17" t="s">
        <v>370</v>
      </c>
    </row>
    <row r="100" spans="5:25" ht="15">
      <c r="E100" s="60" t="s">
        <v>26</v>
      </c>
      <c r="F100" s="12">
        <v>668</v>
      </c>
      <c r="G100" s="17" t="s">
        <v>369</v>
      </c>
      <c r="H100" s="12">
        <v>670</v>
      </c>
      <c r="I100" s="12" t="s">
        <v>283</v>
      </c>
      <c r="J100" s="12" t="s">
        <v>21</v>
      </c>
      <c r="K100" s="12">
        <v>37</v>
      </c>
      <c r="L100" s="80">
        <v>46106</v>
      </c>
      <c r="M100" s="18">
        <v>0.99027777777777781</v>
      </c>
      <c r="N100" s="80">
        <v>46107</v>
      </c>
      <c r="O100" s="18">
        <v>7.6388888888888895E-2</v>
      </c>
      <c r="P100" s="80">
        <v>46107</v>
      </c>
      <c r="Q100" s="18">
        <v>0.31736111111111109</v>
      </c>
      <c r="R100" s="80">
        <v>46107</v>
      </c>
      <c r="S100" s="18">
        <v>0.35138888888888886</v>
      </c>
      <c r="T100" s="73">
        <f t="shared" si="5"/>
        <v>7.6388888888888895E-2</v>
      </c>
      <c r="U100" s="12">
        <v>0</v>
      </c>
      <c r="V100" s="12">
        <v>0</v>
      </c>
      <c r="W100" s="12">
        <v>0</v>
      </c>
      <c r="X100" s="12" t="s">
        <v>129</v>
      </c>
      <c r="Y100" s="17"/>
    </row>
    <row r="101" spans="5:25" ht="15">
      <c r="E101" s="60" t="s">
        <v>26</v>
      </c>
      <c r="F101" s="12">
        <v>669</v>
      </c>
      <c r="G101" s="17" t="s">
        <v>371</v>
      </c>
      <c r="H101" s="12">
        <v>1000</v>
      </c>
      <c r="I101" s="12" t="s">
        <v>283</v>
      </c>
      <c r="J101" s="12" t="s">
        <v>21</v>
      </c>
      <c r="K101" s="12">
        <v>37</v>
      </c>
      <c r="L101" s="80">
        <v>46107</v>
      </c>
      <c r="M101" s="18">
        <v>0.89027777777777772</v>
      </c>
      <c r="N101" s="80">
        <v>46107</v>
      </c>
      <c r="O101" s="18">
        <v>0.99652777777777779</v>
      </c>
      <c r="P101" s="80">
        <v>46108</v>
      </c>
      <c r="Q101" s="18">
        <v>0.24166666666666667</v>
      </c>
      <c r="R101" s="80">
        <v>46108</v>
      </c>
      <c r="S101" s="18">
        <v>0.27986111111111112</v>
      </c>
      <c r="T101" s="73">
        <f t="shared" si="5"/>
        <v>0.99652777777777779</v>
      </c>
      <c r="U101" s="12">
        <v>3</v>
      </c>
      <c r="V101" s="12">
        <v>0</v>
      </c>
      <c r="W101" s="12">
        <v>0</v>
      </c>
      <c r="X101" s="97" t="s">
        <v>372</v>
      </c>
      <c r="Y101" s="98" t="s">
        <v>373</v>
      </c>
    </row>
    <row r="102" spans="5:25" ht="15">
      <c r="E102" s="60" t="s">
        <v>26</v>
      </c>
      <c r="F102" s="12">
        <v>670</v>
      </c>
      <c r="G102" s="17" t="s">
        <v>374</v>
      </c>
      <c r="H102" s="12">
        <v>2546</v>
      </c>
      <c r="I102" s="12"/>
      <c r="J102" s="12" t="s">
        <v>21</v>
      </c>
      <c r="K102" s="12">
        <v>37</v>
      </c>
      <c r="L102" s="80">
        <v>46108</v>
      </c>
      <c r="M102" s="18">
        <v>0.40694444444444444</v>
      </c>
      <c r="N102" s="80">
        <v>46108</v>
      </c>
      <c r="O102" s="18">
        <v>0.52430555555555558</v>
      </c>
      <c r="P102" s="80">
        <v>46109</v>
      </c>
      <c r="Q102" s="18">
        <v>0.14097222222222222</v>
      </c>
      <c r="R102" s="80">
        <v>46109</v>
      </c>
      <c r="S102" s="18">
        <v>0.16666666666666666</v>
      </c>
      <c r="T102" s="73">
        <f t="shared" si="5"/>
        <v>0.52430555555555558</v>
      </c>
      <c r="U102" s="12">
        <v>0</v>
      </c>
      <c r="V102" s="12">
        <v>1</v>
      </c>
      <c r="W102" s="12">
        <v>0</v>
      </c>
      <c r="X102" s="135" t="s">
        <v>372</v>
      </c>
      <c r="Y102" s="17" t="s">
        <v>376</v>
      </c>
    </row>
    <row r="103" spans="5:25" ht="15">
      <c r="E103" s="60" t="s">
        <v>26</v>
      </c>
      <c r="F103" s="12">
        <v>671</v>
      </c>
      <c r="G103" s="17" t="s">
        <v>375</v>
      </c>
      <c r="H103" s="12">
        <v>2400</v>
      </c>
      <c r="I103" s="12" t="s">
        <v>287</v>
      </c>
      <c r="J103" s="12" t="s">
        <v>21</v>
      </c>
      <c r="K103" s="12">
        <v>37</v>
      </c>
      <c r="L103" s="80">
        <v>46109</v>
      </c>
      <c r="M103" s="18">
        <v>0.31666666666666665</v>
      </c>
      <c r="N103" s="80">
        <v>46109</v>
      </c>
      <c r="O103" s="18">
        <v>0.42430555555555555</v>
      </c>
      <c r="P103" s="80">
        <v>46110</v>
      </c>
      <c r="Q103" s="18">
        <v>7.6388888888888886E-3</v>
      </c>
      <c r="R103" s="80">
        <v>46110</v>
      </c>
      <c r="S103" s="18">
        <v>3.888888888888889E-2</v>
      </c>
      <c r="T103" s="73">
        <f t="shared" si="5"/>
        <v>0.42430555555555555</v>
      </c>
      <c r="U103" s="12">
        <v>0</v>
      </c>
      <c r="V103" s="12">
        <v>0</v>
      </c>
      <c r="W103" s="12">
        <v>0</v>
      </c>
      <c r="X103" s="135" t="s">
        <v>372</v>
      </c>
      <c r="Y103" s="17" t="s">
        <v>377</v>
      </c>
    </row>
    <row r="104" spans="5:25" ht="15.75" thickBot="1">
      <c r="E104" s="75" t="s">
        <v>26</v>
      </c>
      <c r="F104" s="77">
        <v>672</v>
      </c>
      <c r="G104" s="76" t="s">
        <v>381</v>
      </c>
      <c r="H104" s="77">
        <f>1697+451+252</f>
        <v>2400</v>
      </c>
      <c r="I104" s="77" t="s">
        <v>315</v>
      </c>
      <c r="J104" s="77" t="s">
        <v>21</v>
      </c>
      <c r="K104" s="77">
        <v>37</v>
      </c>
      <c r="L104" s="45">
        <v>46110</v>
      </c>
      <c r="M104" s="46">
        <v>0.10208333333333333</v>
      </c>
      <c r="N104" s="45">
        <v>46110</v>
      </c>
      <c r="O104" s="46">
        <v>0.20624999999999999</v>
      </c>
      <c r="P104" s="45">
        <v>46110</v>
      </c>
      <c r="Q104" s="46">
        <v>0.7270833333333333</v>
      </c>
      <c r="R104" s="45">
        <v>46110</v>
      </c>
      <c r="S104" s="46">
        <v>0.7680555555555556</v>
      </c>
      <c r="T104" s="78">
        <f t="shared" si="5"/>
        <v>0.20624999999999999</v>
      </c>
      <c r="U104" s="77">
        <v>0</v>
      </c>
      <c r="V104" s="77">
        <v>0</v>
      </c>
      <c r="W104" s="77">
        <v>0</v>
      </c>
      <c r="X104" s="137" t="s">
        <v>372</v>
      </c>
      <c r="Y104" s="76" t="s">
        <v>380</v>
      </c>
    </row>
    <row r="105" spans="5:25" ht="15">
      <c r="E105" s="79" t="s">
        <v>27</v>
      </c>
      <c r="F105" s="19">
        <v>673</v>
      </c>
      <c r="G105" s="72" t="s">
        <v>382</v>
      </c>
      <c r="H105" s="19">
        <v>2299</v>
      </c>
      <c r="I105" s="19" t="s">
        <v>331</v>
      </c>
      <c r="J105" s="19" t="s">
        <v>21</v>
      </c>
      <c r="K105" s="19">
        <v>37</v>
      </c>
      <c r="L105" s="80">
        <v>46110</v>
      </c>
      <c r="M105" s="74">
        <v>0.81597222222222221</v>
      </c>
      <c r="N105" s="80">
        <v>46110</v>
      </c>
      <c r="O105" s="74">
        <v>0.9291666666666667</v>
      </c>
      <c r="P105" s="80">
        <v>46111</v>
      </c>
      <c r="Q105" s="74">
        <v>0.48888888888888887</v>
      </c>
      <c r="R105" s="80">
        <v>46111</v>
      </c>
      <c r="S105" s="74">
        <v>0.52083333333333337</v>
      </c>
      <c r="T105" s="73">
        <f t="shared" si="5"/>
        <v>0.9291666666666667</v>
      </c>
      <c r="U105" s="19">
        <v>0</v>
      </c>
      <c r="V105" s="19">
        <v>0</v>
      </c>
      <c r="W105" s="19">
        <v>0</v>
      </c>
      <c r="X105" s="136" t="s">
        <v>372</v>
      </c>
      <c r="Y105" s="72"/>
    </row>
    <row r="106" spans="5:25" ht="15">
      <c r="E106" s="60" t="s">
        <v>27</v>
      </c>
      <c r="F106" s="12">
        <v>674</v>
      </c>
      <c r="G106" s="17" t="s">
        <v>383</v>
      </c>
      <c r="H106" s="12">
        <v>2522</v>
      </c>
      <c r="I106" s="12"/>
      <c r="J106" s="12" t="s">
        <v>21</v>
      </c>
      <c r="K106" s="12">
        <v>37</v>
      </c>
      <c r="L106" s="80">
        <v>46111</v>
      </c>
      <c r="M106" s="18">
        <v>0.70277777777777772</v>
      </c>
      <c r="N106" s="80">
        <v>46111</v>
      </c>
      <c r="O106" s="18">
        <v>0.8125</v>
      </c>
      <c r="P106" s="80">
        <v>46112</v>
      </c>
      <c r="Q106" s="18">
        <v>0.4236111111111111</v>
      </c>
      <c r="R106" s="80">
        <v>46112</v>
      </c>
      <c r="S106" s="18">
        <v>0.46111111111111114</v>
      </c>
      <c r="T106" s="73">
        <f t="shared" si="5"/>
        <v>0.8125</v>
      </c>
      <c r="U106" s="12">
        <v>0</v>
      </c>
      <c r="V106" s="12">
        <v>0</v>
      </c>
      <c r="W106" s="12">
        <v>0</v>
      </c>
      <c r="X106" s="135" t="s">
        <v>372</v>
      </c>
      <c r="Y106" s="17"/>
    </row>
    <row r="107" spans="5:25" ht="15">
      <c r="E107" s="60" t="s">
        <v>27</v>
      </c>
      <c r="F107" s="12">
        <v>675</v>
      </c>
      <c r="G107" s="17" t="s">
        <v>384</v>
      </c>
      <c r="H107" s="12">
        <v>2228</v>
      </c>
      <c r="I107" s="12" t="s">
        <v>388</v>
      </c>
      <c r="J107" s="12" t="s">
        <v>21</v>
      </c>
      <c r="K107" s="12">
        <v>37</v>
      </c>
      <c r="L107" s="80">
        <v>46112</v>
      </c>
      <c r="M107" s="18">
        <v>0.55833333333333335</v>
      </c>
      <c r="N107" s="80">
        <v>46112</v>
      </c>
      <c r="O107" s="18">
        <v>0.68055555555555558</v>
      </c>
      <c r="P107" s="80">
        <v>46113</v>
      </c>
      <c r="Q107" s="18">
        <v>4.5138888888888888E-2</v>
      </c>
      <c r="R107" s="80">
        <v>46113</v>
      </c>
      <c r="S107" s="18">
        <v>7.2916666666666671E-2</v>
      </c>
      <c r="T107" s="73">
        <f t="shared" si="5"/>
        <v>0.68055555555555558</v>
      </c>
      <c r="U107" s="12">
        <v>0</v>
      </c>
      <c r="V107" s="12">
        <v>6</v>
      </c>
      <c r="W107" s="12">
        <v>0</v>
      </c>
      <c r="X107" s="135" t="s">
        <v>372</v>
      </c>
      <c r="Y107" s="17" t="s">
        <v>390</v>
      </c>
    </row>
    <row r="108" spans="5:25" ht="28.5">
      <c r="E108" s="60" t="s">
        <v>27</v>
      </c>
      <c r="F108" s="12">
        <v>676</v>
      </c>
      <c r="G108" s="17" t="s">
        <v>385</v>
      </c>
      <c r="H108" s="12">
        <v>940</v>
      </c>
      <c r="I108" s="12" t="s">
        <v>387</v>
      </c>
      <c r="J108" s="12" t="s">
        <v>21</v>
      </c>
      <c r="K108" s="12">
        <v>37</v>
      </c>
      <c r="L108" s="80">
        <v>46113</v>
      </c>
      <c r="M108" s="18">
        <v>0.57916666666666672</v>
      </c>
      <c r="N108" s="80">
        <v>46113</v>
      </c>
      <c r="O108" s="18">
        <v>0.68402777777777779</v>
      </c>
      <c r="P108" s="80">
        <v>46114</v>
      </c>
      <c r="Q108" s="18">
        <v>0.9291666666666667</v>
      </c>
      <c r="R108" s="80">
        <v>46114</v>
      </c>
      <c r="S108" s="18">
        <v>0.97152777777777777</v>
      </c>
      <c r="T108" s="73">
        <f t="shared" ref="T108:T117" si="6">O108+(D108/24)</f>
        <v>0.68402777777777779</v>
      </c>
      <c r="U108" s="12">
        <v>0</v>
      </c>
      <c r="V108" s="12">
        <v>0</v>
      </c>
      <c r="W108" s="12">
        <v>0</v>
      </c>
      <c r="X108" s="135" t="s">
        <v>372</v>
      </c>
      <c r="Y108" s="17"/>
    </row>
    <row r="109" spans="5:25" ht="28.5">
      <c r="E109" s="60" t="s">
        <v>27</v>
      </c>
      <c r="F109" s="12">
        <v>677</v>
      </c>
      <c r="G109" s="17" t="s">
        <v>386</v>
      </c>
      <c r="H109" s="12">
        <v>1314</v>
      </c>
      <c r="I109" s="12" t="s">
        <v>389</v>
      </c>
      <c r="J109" s="12" t="s">
        <v>21</v>
      </c>
      <c r="K109" s="12">
        <v>37</v>
      </c>
      <c r="L109" s="80">
        <v>46114</v>
      </c>
      <c r="M109" s="18">
        <v>0.1423611111111111</v>
      </c>
      <c r="N109" s="80">
        <v>46114</v>
      </c>
      <c r="O109" s="18">
        <v>0.26041666666666669</v>
      </c>
      <c r="P109" s="80">
        <v>46114</v>
      </c>
      <c r="Q109" s="18">
        <v>0.35069444444444442</v>
      </c>
      <c r="R109" s="80">
        <v>46114</v>
      </c>
      <c r="S109" s="18">
        <v>0.3611111111111111</v>
      </c>
      <c r="T109" s="73">
        <f t="shared" si="6"/>
        <v>0.26041666666666669</v>
      </c>
      <c r="U109" s="12">
        <v>0</v>
      </c>
      <c r="V109" s="12">
        <v>0</v>
      </c>
      <c r="W109" s="12">
        <v>0</v>
      </c>
      <c r="X109" s="135" t="s">
        <v>372</v>
      </c>
      <c r="Y109" s="17" t="s">
        <v>391</v>
      </c>
    </row>
    <row r="110" spans="5:25" ht="28.5">
      <c r="E110" s="60" t="s">
        <v>27</v>
      </c>
      <c r="F110" s="12">
        <v>678</v>
      </c>
      <c r="G110" s="17" t="s">
        <v>392</v>
      </c>
      <c r="H110" s="12">
        <v>2261</v>
      </c>
      <c r="I110" s="17" t="s">
        <v>393</v>
      </c>
      <c r="J110" s="12" t="s">
        <v>21</v>
      </c>
      <c r="K110" s="12">
        <v>37</v>
      </c>
      <c r="L110" s="80">
        <v>46114</v>
      </c>
      <c r="M110" s="18">
        <v>0.73888888888888893</v>
      </c>
      <c r="N110" s="80">
        <v>46114</v>
      </c>
      <c r="O110" s="18">
        <v>0.83888888888888891</v>
      </c>
      <c r="P110" s="80">
        <v>46115</v>
      </c>
      <c r="Q110" s="18">
        <v>0.40416666666666667</v>
      </c>
      <c r="R110" s="80">
        <v>46115</v>
      </c>
      <c r="S110" s="18">
        <v>0.4375</v>
      </c>
      <c r="T110" s="73">
        <f t="shared" si="6"/>
        <v>0.83888888888888891</v>
      </c>
      <c r="U110" s="12">
        <v>0</v>
      </c>
      <c r="V110" s="12">
        <v>0</v>
      </c>
      <c r="W110" s="12">
        <v>0</v>
      </c>
      <c r="X110" s="135" t="s">
        <v>372</v>
      </c>
      <c r="Y110" s="17"/>
    </row>
    <row r="111" spans="5:25" ht="15">
      <c r="E111" s="60" t="s">
        <v>27</v>
      </c>
      <c r="F111" s="12">
        <v>679</v>
      </c>
      <c r="G111" s="17" t="s">
        <v>394</v>
      </c>
      <c r="H111" s="12">
        <v>1718</v>
      </c>
      <c r="I111" s="12" t="s">
        <v>395</v>
      </c>
      <c r="J111" s="12" t="s">
        <v>21</v>
      </c>
      <c r="K111" s="12">
        <v>37</v>
      </c>
      <c r="L111" s="80">
        <v>46115</v>
      </c>
      <c r="M111" s="18">
        <v>0.56319444444444444</v>
      </c>
      <c r="N111" s="80">
        <v>46115</v>
      </c>
      <c r="O111" s="18">
        <v>0.66666666666666663</v>
      </c>
      <c r="P111" s="80">
        <v>46116</v>
      </c>
      <c r="Q111" s="18">
        <v>7.3611111111111113E-2</v>
      </c>
      <c r="R111" s="80">
        <v>46116</v>
      </c>
      <c r="S111" s="18">
        <v>0.1076388888888889</v>
      </c>
      <c r="T111" s="73">
        <f t="shared" si="6"/>
        <v>0.66666666666666663</v>
      </c>
      <c r="U111" s="12">
        <v>0</v>
      </c>
      <c r="V111" s="12">
        <v>0</v>
      </c>
      <c r="W111" s="12">
        <v>0</v>
      </c>
      <c r="X111" s="135" t="s">
        <v>372</v>
      </c>
      <c r="Y111" s="17"/>
    </row>
    <row r="112" spans="5:25" ht="15">
      <c r="E112" s="60" t="s">
        <v>27</v>
      </c>
      <c r="F112" s="12">
        <v>680</v>
      </c>
      <c r="G112" s="17" t="s">
        <v>396</v>
      </c>
      <c r="H112" s="12">
        <v>2578</v>
      </c>
      <c r="I112" s="12" t="s">
        <v>285</v>
      </c>
      <c r="J112" s="12" t="s">
        <v>21</v>
      </c>
      <c r="K112" s="12">
        <v>37</v>
      </c>
      <c r="L112" s="80">
        <v>46116</v>
      </c>
      <c r="M112" s="18">
        <v>0.21875</v>
      </c>
      <c r="N112" s="80">
        <v>46116</v>
      </c>
      <c r="O112" s="18">
        <v>0.34305555555555556</v>
      </c>
      <c r="P112" s="80">
        <v>46116</v>
      </c>
      <c r="Q112" s="18">
        <v>0.96805555555555556</v>
      </c>
      <c r="R112" s="80">
        <v>46116</v>
      </c>
      <c r="S112" s="18">
        <v>6.2500000000000003E-3</v>
      </c>
      <c r="T112" s="73">
        <f t="shared" si="6"/>
        <v>0.34305555555555556</v>
      </c>
      <c r="U112" s="12">
        <v>0</v>
      </c>
      <c r="V112" s="12">
        <v>2</v>
      </c>
      <c r="W112" s="12">
        <v>0</v>
      </c>
      <c r="X112" s="135" t="s">
        <v>372</v>
      </c>
      <c r="Y112" s="17"/>
    </row>
    <row r="113" spans="5:25" ht="29.25" thickBot="1">
      <c r="E113" s="75" t="s">
        <v>27</v>
      </c>
      <c r="F113" s="77">
        <v>681</v>
      </c>
      <c r="G113" s="76" t="s">
        <v>397</v>
      </c>
      <c r="H113" s="77">
        <f>354+883+395+270</f>
        <v>1902</v>
      </c>
      <c r="I113" s="77"/>
      <c r="J113" s="77" t="s">
        <v>21</v>
      </c>
      <c r="K113" s="77">
        <v>37</v>
      </c>
      <c r="L113" s="45">
        <v>46117</v>
      </c>
      <c r="M113" s="46">
        <v>0.26666666666666666</v>
      </c>
      <c r="N113" s="45">
        <v>46117</v>
      </c>
      <c r="O113" s="46">
        <v>0.37013888888888891</v>
      </c>
      <c r="P113" s="45">
        <v>46117</v>
      </c>
      <c r="Q113" s="46">
        <v>0.79791666666666672</v>
      </c>
      <c r="R113" s="45">
        <v>46117</v>
      </c>
      <c r="S113" s="46">
        <v>0.39930555555555558</v>
      </c>
      <c r="T113" s="78">
        <f t="shared" si="6"/>
        <v>0.37013888888888891</v>
      </c>
      <c r="U113" s="77">
        <v>0</v>
      </c>
      <c r="V113" s="77">
        <v>2</v>
      </c>
      <c r="W113" s="77">
        <v>0</v>
      </c>
      <c r="X113" s="137" t="s">
        <v>372</v>
      </c>
      <c r="Y113" s="76" t="s">
        <v>398</v>
      </c>
    </row>
    <row r="114" spans="5:25" ht="15">
      <c r="E114" s="79" t="s">
        <v>28</v>
      </c>
      <c r="F114" s="19">
        <v>682</v>
      </c>
      <c r="G114" s="72" t="s">
        <v>399</v>
      </c>
      <c r="H114" s="19">
        <v>329</v>
      </c>
      <c r="I114" s="19" t="s">
        <v>290</v>
      </c>
      <c r="J114" s="19" t="s">
        <v>21</v>
      </c>
      <c r="K114" s="19">
        <v>37</v>
      </c>
      <c r="L114" s="80">
        <v>46118</v>
      </c>
      <c r="M114" s="74">
        <v>7.1527777777777773E-2</v>
      </c>
      <c r="N114" s="80">
        <v>46118</v>
      </c>
      <c r="O114" s="74">
        <v>0.14722222222222223</v>
      </c>
      <c r="P114" s="80">
        <v>46118</v>
      </c>
      <c r="Q114" s="74">
        <v>0.35694444444444445</v>
      </c>
      <c r="R114" s="80">
        <v>46118</v>
      </c>
      <c r="S114" s="74">
        <v>0.36805555555555558</v>
      </c>
      <c r="T114" s="73">
        <f t="shared" si="6"/>
        <v>0.14722222222222223</v>
      </c>
      <c r="U114" s="19">
        <v>0</v>
      </c>
      <c r="V114" s="19">
        <v>0</v>
      </c>
      <c r="W114" s="19">
        <v>0</v>
      </c>
      <c r="X114" s="136" t="s">
        <v>372</v>
      </c>
      <c r="Y114" s="72" t="s">
        <v>400</v>
      </c>
    </row>
    <row r="115" spans="5:25" ht="28.5">
      <c r="E115" s="60" t="s">
        <v>28</v>
      </c>
      <c r="F115" s="12">
        <v>683</v>
      </c>
      <c r="G115" s="17" t="s">
        <v>401</v>
      </c>
      <c r="H115" s="12">
        <v>1832</v>
      </c>
      <c r="I115" s="12" t="s">
        <v>290</v>
      </c>
      <c r="J115" s="12" t="s">
        <v>21</v>
      </c>
      <c r="K115" s="12">
        <v>37</v>
      </c>
      <c r="L115" s="80">
        <v>46118</v>
      </c>
      <c r="M115" s="18">
        <v>0.98055555555555551</v>
      </c>
      <c r="N115" s="80">
        <v>46119</v>
      </c>
      <c r="O115" s="18">
        <v>8.611111111111111E-2</v>
      </c>
      <c r="P115" s="80">
        <v>46119</v>
      </c>
      <c r="Q115" s="18">
        <v>0.53749999999999998</v>
      </c>
      <c r="R115" s="80">
        <v>46119</v>
      </c>
      <c r="S115" s="18">
        <v>0.57361111111111107</v>
      </c>
      <c r="T115" s="73">
        <f t="shared" si="6"/>
        <v>8.611111111111111E-2</v>
      </c>
      <c r="U115" s="12">
        <v>0</v>
      </c>
      <c r="V115" s="12">
        <v>0</v>
      </c>
      <c r="W115" s="12">
        <v>0</v>
      </c>
      <c r="X115" s="135" t="s">
        <v>372</v>
      </c>
      <c r="Y115" s="17" t="s">
        <v>403</v>
      </c>
    </row>
    <row r="116" spans="5:25" ht="28.5">
      <c r="E116" s="60" t="s">
        <v>28</v>
      </c>
      <c r="F116" s="12">
        <v>684</v>
      </c>
      <c r="G116" s="17" t="s">
        <v>402</v>
      </c>
      <c r="H116" s="12">
        <v>2648</v>
      </c>
      <c r="I116" s="12" t="s">
        <v>290</v>
      </c>
      <c r="J116" s="12" t="s">
        <v>21</v>
      </c>
      <c r="K116" s="12">
        <v>37</v>
      </c>
      <c r="L116" s="80">
        <v>46120</v>
      </c>
      <c r="M116" s="18">
        <v>0.32291666666666669</v>
      </c>
      <c r="N116" s="80">
        <v>46120</v>
      </c>
      <c r="O116" s="18">
        <v>0.34791666666666665</v>
      </c>
      <c r="P116" s="80">
        <v>46120</v>
      </c>
      <c r="Q116" s="18">
        <v>0.98819444444444449</v>
      </c>
      <c r="R116" s="80">
        <v>46121</v>
      </c>
      <c r="S116" s="18">
        <v>1.8749999999999999E-2</v>
      </c>
      <c r="T116" s="73">
        <f t="shared" si="6"/>
        <v>0.34791666666666665</v>
      </c>
      <c r="U116" s="12">
        <v>0</v>
      </c>
      <c r="V116" s="12">
        <v>0</v>
      </c>
      <c r="W116" s="12">
        <v>0</v>
      </c>
      <c r="X116" s="135" t="s">
        <v>372</v>
      </c>
      <c r="Y116" s="17" t="s">
        <v>404</v>
      </c>
    </row>
    <row r="117" spans="5:25" ht="15">
      <c r="E117" s="60" t="s">
        <v>28</v>
      </c>
      <c r="F117" s="12">
        <v>685</v>
      </c>
      <c r="G117" s="17" t="s">
        <v>406</v>
      </c>
      <c r="H117" s="12">
        <v>100</v>
      </c>
      <c r="I117" s="12"/>
      <c r="J117" s="12" t="s">
        <v>21</v>
      </c>
      <c r="K117" s="12">
        <v>37</v>
      </c>
      <c r="L117" s="80">
        <v>46121</v>
      </c>
      <c r="M117" s="18">
        <v>0.23958333333333334</v>
      </c>
      <c r="N117" s="80">
        <v>46121</v>
      </c>
      <c r="O117" s="18">
        <v>0.34791666666666665</v>
      </c>
      <c r="P117" s="80">
        <v>46121</v>
      </c>
      <c r="Q117" s="18">
        <v>0.42777777777777776</v>
      </c>
      <c r="R117" s="80">
        <v>46121</v>
      </c>
      <c r="S117" s="18">
        <v>0.4597222222222222</v>
      </c>
      <c r="T117" s="73">
        <f t="shared" si="6"/>
        <v>0.34791666666666665</v>
      </c>
      <c r="U117" s="12">
        <v>0</v>
      </c>
      <c r="V117" s="12">
        <v>0</v>
      </c>
      <c r="W117" s="12">
        <v>0</v>
      </c>
      <c r="X117" s="135" t="s">
        <v>372</v>
      </c>
      <c r="Y117" s="17" t="s">
        <v>405</v>
      </c>
    </row>
    <row r="118" spans="5:25" ht="15">
      <c r="E118" s="60" t="s">
        <v>28</v>
      </c>
      <c r="F118" s="12">
        <v>686</v>
      </c>
      <c r="G118" s="17" t="s">
        <v>407</v>
      </c>
      <c r="H118" s="12">
        <v>1526</v>
      </c>
      <c r="I118" s="12" t="s">
        <v>285</v>
      </c>
      <c r="J118" s="12" t="s">
        <v>21</v>
      </c>
      <c r="K118" s="12">
        <v>37</v>
      </c>
      <c r="L118" s="80">
        <v>46121</v>
      </c>
      <c r="M118" s="18">
        <v>0.9194444444444444</v>
      </c>
      <c r="N118" s="80">
        <v>46122</v>
      </c>
      <c r="O118" s="18">
        <v>0.19236111111111112</v>
      </c>
      <c r="P118" s="80">
        <v>46122</v>
      </c>
      <c r="Q118" s="18">
        <v>0.2986111111111111</v>
      </c>
      <c r="R118" s="80">
        <v>46122</v>
      </c>
      <c r="S118" s="18">
        <v>0.31666666666666665</v>
      </c>
      <c r="T118" s="73">
        <f t="shared" ref="T118:T125" si="7">O118+(D118/24)</f>
        <v>0.19236111111111112</v>
      </c>
      <c r="U118" s="12">
        <v>0</v>
      </c>
      <c r="V118" s="12">
        <v>0</v>
      </c>
      <c r="W118" s="12">
        <v>0</v>
      </c>
      <c r="X118" s="97" t="s">
        <v>129</v>
      </c>
      <c r="Y118" s="17" t="s">
        <v>410</v>
      </c>
    </row>
    <row r="119" spans="5:25" ht="15">
      <c r="E119" s="60" t="s">
        <v>28</v>
      </c>
      <c r="F119" s="12">
        <v>687</v>
      </c>
      <c r="G119" s="17" t="s">
        <v>408</v>
      </c>
      <c r="H119" s="12">
        <f>451+606</f>
        <v>1057</v>
      </c>
      <c r="I119" s="12" t="s">
        <v>409</v>
      </c>
      <c r="J119" s="12" t="s">
        <v>21</v>
      </c>
      <c r="K119" s="12">
        <v>37</v>
      </c>
      <c r="L119" s="80">
        <v>46122</v>
      </c>
      <c r="M119" s="18">
        <v>0.56805555555555554</v>
      </c>
      <c r="N119" s="80">
        <v>46123</v>
      </c>
      <c r="O119" s="18">
        <v>0.65208333333333335</v>
      </c>
      <c r="P119" s="80">
        <v>46123</v>
      </c>
      <c r="Q119" s="18">
        <v>0.7583333333333333</v>
      </c>
      <c r="R119" s="80">
        <v>46123</v>
      </c>
      <c r="S119" s="18">
        <v>0.79097222222222219</v>
      </c>
      <c r="T119" s="73">
        <f t="shared" si="7"/>
        <v>0.65208333333333335</v>
      </c>
      <c r="U119" s="12">
        <v>0</v>
      </c>
      <c r="V119" s="12">
        <v>0</v>
      </c>
      <c r="W119" s="12">
        <v>0</v>
      </c>
      <c r="X119" s="138" t="s">
        <v>108</v>
      </c>
      <c r="Y119" s="163" t="s">
        <v>412</v>
      </c>
    </row>
    <row r="120" spans="5:25" ht="15.75" thickBot="1">
      <c r="E120" s="75" t="s">
        <v>28</v>
      </c>
      <c r="F120" s="77">
        <v>688</v>
      </c>
      <c r="G120" s="76" t="s">
        <v>411</v>
      </c>
      <c r="H120" s="77">
        <f>2320-1447+1439</f>
        <v>2312</v>
      </c>
      <c r="I120" s="77" t="s">
        <v>308</v>
      </c>
      <c r="J120" s="77" t="s">
        <v>21</v>
      </c>
      <c r="K120" s="77">
        <v>37</v>
      </c>
      <c r="L120" s="45">
        <v>46123</v>
      </c>
      <c r="M120" s="46">
        <v>0.96736111111111112</v>
      </c>
      <c r="N120" s="45">
        <v>46124</v>
      </c>
      <c r="O120" s="46">
        <v>9.375E-2</v>
      </c>
      <c r="P120" s="45">
        <v>46124</v>
      </c>
      <c r="Q120" s="46">
        <v>0.66249999999999998</v>
      </c>
      <c r="R120" s="45">
        <v>46124</v>
      </c>
      <c r="S120" s="46">
        <v>0.70694444444444449</v>
      </c>
      <c r="T120" s="78">
        <f t="shared" si="7"/>
        <v>9.375E-2</v>
      </c>
      <c r="U120" s="77">
        <v>0</v>
      </c>
      <c r="V120" s="77">
        <v>0</v>
      </c>
      <c r="W120" s="77">
        <v>0</v>
      </c>
      <c r="X120" s="137" t="s">
        <v>108</v>
      </c>
      <c r="Y120" s="76"/>
    </row>
    <row r="121" spans="5:25" ht="15">
      <c r="E121" s="79" t="s">
        <v>29</v>
      </c>
      <c r="F121" s="19">
        <v>689</v>
      </c>
      <c r="G121" s="72" t="s">
        <v>413</v>
      </c>
      <c r="H121" s="19">
        <v>1546</v>
      </c>
      <c r="I121" s="19" t="s">
        <v>297</v>
      </c>
      <c r="J121" s="19" t="s">
        <v>21</v>
      </c>
      <c r="K121" s="19">
        <v>37</v>
      </c>
      <c r="L121" s="80">
        <v>46124</v>
      </c>
      <c r="M121" s="74">
        <v>0.80138888888888893</v>
      </c>
      <c r="N121" s="80">
        <v>46125</v>
      </c>
      <c r="O121" s="74">
        <v>0.05</v>
      </c>
      <c r="P121" s="80">
        <v>46125</v>
      </c>
      <c r="Q121" s="74">
        <v>0.43541666666666667</v>
      </c>
      <c r="R121" s="80">
        <v>46125</v>
      </c>
      <c r="S121" s="74">
        <v>0.46805555555555556</v>
      </c>
      <c r="T121" s="73">
        <f t="shared" si="7"/>
        <v>0.05</v>
      </c>
      <c r="U121" s="19">
        <v>0</v>
      </c>
      <c r="V121" s="19">
        <v>2</v>
      </c>
      <c r="W121" s="19">
        <v>0</v>
      </c>
      <c r="X121" s="136" t="s">
        <v>108</v>
      </c>
      <c r="Y121" s="72"/>
    </row>
    <row r="122" spans="5:25" ht="15">
      <c r="E122" s="60" t="s">
        <v>29</v>
      </c>
      <c r="F122" s="12">
        <v>690</v>
      </c>
      <c r="G122" s="17" t="s">
        <v>414</v>
      </c>
      <c r="H122" s="12">
        <f>623+614+459</f>
        <v>1696</v>
      </c>
      <c r="I122" s="12" t="s">
        <v>283</v>
      </c>
      <c r="J122" s="12" t="s">
        <v>21</v>
      </c>
      <c r="K122" s="12">
        <v>37</v>
      </c>
      <c r="L122" s="80">
        <v>46126</v>
      </c>
      <c r="M122" s="18">
        <v>0.14583333333333334</v>
      </c>
      <c r="N122" s="80">
        <v>46126</v>
      </c>
      <c r="O122" s="18">
        <v>0.23472222222222222</v>
      </c>
      <c r="P122" s="80">
        <v>46126</v>
      </c>
      <c r="Q122" s="18">
        <v>0.65486111111111112</v>
      </c>
      <c r="R122" s="80">
        <v>46126</v>
      </c>
      <c r="S122" s="18">
        <v>0.69444444444444442</v>
      </c>
      <c r="T122" s="73">
        <f t="shared" si="7"/>
        <v>0.23472222222222222</v>
      </c>
      <c r="U122" s="12">
        <v>1</v>
      </c>
      <c r="V122" s="12">
        <v>3</v>
      </c>
      <c r="W122" s="12">
        <v>0</v>
      </c>
      <c r="X122" s="135" t="s">
        <v>108</v>
      </c>
      <c r="Y122" s="17" t="s">
        <v>415</v>
      </c>
    </row>
    <row r="123" spans="5:25" ht="15">
      <c r="E123" s="60" t="s">
        <v>29</v>
      </c>
      <c r="F123" s="12">
        <v>691</v>
      </c>
      <c r="G123" s="17" t="s">
        <v>418</v>
      </c>
      <c r="H123" s="12">
        <f>2318-28</f>
        <v>2290</v>
      </c>
      <c r="I123" s="12" t="s">
        <v>283</v>
      </c>
      <c r="J123" s="12" t="s">
        <v>21</v>
      </c>
      <c r="K123" s="12">
        <v>37</v>
      </c>
      <c r="L123" s="80">
        <v>46127</v>
      </c>
      <c r="M123" s="18">
        <v>1.0416666666666666E-2</v>
      </c>
      <c r="N123" s="80">
        <v>46127</v>
      </c>
      <c r="O123" s="18">
        <v>9.5138888888888884E-2</v>
      </c>
      <c r="P123" s="80">
        <v>46127</v>
      </c>
      <c r="Q123" s="18">
        <v>0.65277777777777779</v>
      </c>
      <c r="R123" s="80">
        <v>46127</v>
      </c>
      <c r="S123" s="18">
        <v>0.6958333333333333</v>
      </c>
      <c r="T123" s="73">
        <f t="shared" si="7"/>
        <v>9.5138888888888884E-2</v>
      </c>
      <c r="U123" s="12">
        <v>0</v>
      </c>
      <c r="V123" s="12">
        <v>0</v>
      </c>
      <c r="W123" s="12">
        <v>0</v>
      </c>
      <c r="X123" s="135" t="s">
        <v>108</v>
      </c>
      <c r="Y123" s="17" t="s">
        <v>419</v>
      </c>
    </row>
    <row r="124" spans="5:25" ht="15">
      <c r="E124" s="60" t="s">
        <v>29</v>
      </c>
      <c r="F124" s="12">
        <v>692</v>
      </c>
      <c r="G124" s="158" t="s">
        <v>422</v>
      </c>
      <c r="H124" s="12">
        <v>1073</v>
      </c>
      <c r="I124" s="12" t="s">
        <v>331</v>
      </c>
      <c r="J124" s="12" t="s">
        <v>423</v>
      </c>
      <c r="K124" s="12">
        <v>100</v>
      </c>
      <c r="L124" s="80">
        <v>46128</v>
      </c>
      <c r="M124" s="18">
        <v>0.45624999999999999</v>
      </c>
      <c r="N124" s="80">
        <v>46128</v>
      </c>
      <c r="O124" s="18">
        <v>0.68819444444444444</v>
      </c>
      <c r="P124" s="80">
        <v>46128</v>
      </c>
      <c r="Q124" s="18">
        <v>0.81388888888888888</v>
      </c>
      <c r="R124" s="80">
        <v>46128</v>
      </c>
      <c r="S124" s="18">
        <v>0.8305555555555556</v>
      </c>
      <c r="T124" s="73">
        <f t="shared" si="7"/>
        <v>0.68819444444444444</v>
      </c>
      <c r="U124" s="12">
        <v>0</v>
      </c>
      <c r="V124" s="12">
        <v>0</v>
      </c>
      <c r="W124" s="12">
        <v>0</v>
      </c>
      <c r="X124" s="135" t="s">
        <v>108</v>
      </c>
      <c r="Y124" s="17" t="s">
        <v>421</v>
      </c>
    </row>
    <row r="125" spans="5:25" ht="15">
      <c r="E125" s="60" t="s">
        <v>29</v>
      </c>
      <c r="F125" s="12">
        <v>693</v>
      </c>
      <c r="G125" s="158" t="s">
        <v>424</v>
      </c>
      <c r="H125" s="17">
        <v>612</v>
      </c>
      <c r="I125" s="12"/>
      <c r="J125" s="12" t="s">
        <v>423</v>
      </c>
      <c r="K125" s="12">
        <v>100</v>
      </c>
      <c r="L125" s="80">
        <v>46128</v>
      </c>
      <c r="M125" s="18">
        <v>0.87222222222222223</v>
      </c>
      <c r="N125" s="80">
        <v>46129</v>
      </c>
      <c r="O125" s="18">
        <v>5.486111111111111E-2</v>
      </c>
      <c r="P125" s="80">
        <v>46129</v>
      </c>
      <c r="Q125" s="18">
        <v>0.25763888888888886</v>
      </c>
      <c r="R125" s="80">
        <v>46129</v>
      </c>
      <c r="S125" s="18">
        <v>0.32777777777777778</v>
      </c>
      <c r="T125" s="73">
        <f t="shared" si="7"/>
        <v>5.486111111111111E-2</v>
      </c>
      <c r="U125" s="12">
        <v>0</v>
      </c>
      <c r="V125" s="12">
        <v>0</v>
      </c>
      <c r="W125" s="12">
        <v>0</v>
      </c>
      <c r="X125" s="135" t="s">
        <v>108</v>
      </c>
      <c r="Y125" s="17"/>
    </row>
    <row r="126" spans="5:25" ht="15">
      <c r="E126" s="60" t="s">
        <v>29</v>
      </c>
      <c r="F126" s="12">
        <v>694</v>
      </c>
      <c r="G126" s="159" t="s">
        <v>426</v>
      </c>
      <c r="H126" s="12">
        <v>1400</v>
      </c>
      <c r="I126" s="12"/>
      <c r="J126" s="12" t="s">
        <v>423</v>
      </c>
      <c r="K126" s="12" t="s">
        <v>425</v>
      </c>
      <c r="L126" s="80">
        <v>46129</v>
      </c>
      <c r="M126" s="18">
        <v>0.4777777777777778</v>
      </c>
      <c r="N126" s="80">
        <v>46129</v>
      </c>
      <c r="O126" s="18">
        <v>0.61875000000000002</v>
      </c>
      <c r="P126" s="80">
        <v>46130</v>
      </c>
      <c r="Q126" s="18">
        <v>0.05</v>
      </c>
      <c r="R126" s="80">
        <v>46130</v>
      </c>
      <c r="S126" s="18">
        <v>0.11388888888888889</v>
      </c>
      <c r="T126" s="73">
        <f t="shared" ref="T126:T134" si="8">O126+(D126/24)</f>
        <v>0.61875000000000002</v>
      </c>
      <c r="U126" s="12">
        <v>0</v>
      </c>
      <c r="V126" s="12">
        <v>0</v>
      </c>
      <c r="W126" s="12">
        <v>0</v>
      </c>
      <c r="X126" s="135" t="s">
        <v>108</v>
      </c>
      <c r="Y126" s="17"/>
    </row>
    <row r="127" spans="5:25" ht="15">
      <c r="E127" s="60" t="s">
        <v>29</v>
      </c>
      <c r="F127" s="12">
        <v>695</v>
      </c>
      <c r="G127" s="17" t="s">
        <v>420</v>
      </c>
      <c r="H127" s="12">
        <v>1993</v>
      </c>
      <c r="I127" s="12" t="s">
        <v>297</v>
      </c>
      <c r="J127" s="12" t="s">
        <v>21</v>
      </c>
      <c r="K127" s="12">
        <v>37</v>
      </c>
      <c r="L127" s="80">
        <v>46130</v>
      </c>
      <c r="M127" s="18">
        <v>0.24374999999999999</v>
      </c>
      <c r="N127" s="80">
        <v>46130</v>
      </c>
      <c r="O127" s="18">
        <v>0.36319444444444443</v>
      </c>
      <c r="P127" s="80">
        <v>46130</v>
      </c>
      <c r="Q127" s="18">
        <v>0.8520833333333333</v>
      </c>
      <c r="R127" s="80">
        <v>46130</v>
      </c>
      <c r="S127" s="18">
        <v>0.90555555555555556</v>
      </c>
      <c r="T127" s="73">
        <f t="shared" si="8"/>
        <v>0.36319444444444443</v>
      </c>
      <c r="U127" s="12">
        <v>0</v>
      </c>
      <c r="V127" s="12">
        <v>1</v>
      </c>
      <c r="W127" s="12">
        <v>1</v>
      </c>
      <c r="X127" s="135" t="s">
        <v>108</v>
      </c>
      <c r="Y127" s="17"/>
    </row>
    <row r="128" spans="5:25" ht="29.25" thickBot="1">
      <c r="E128" s="75" t="s">
        <v>29</v>
      </c>
      <c r="F128" s="77">
        <v>696</v>
      </c>
      <c r="G128" s="76" t="s">
        <v>428</v>
      </c>
      <c r="H128" s="77">
        <v>2163</v>
      </c>
      <c r="I128" s="77" t="s">
        <v>285</v>
      </c>
      <c r="J128" s="77" t="s">
        <v>21</v>
      </c>
      <c r="K128" s="77">
        <v>37</v>
      </c>
      <c r="L128" s="45">
        <v>46131</v>
      </c>
      <c r="M128" s="46">
        <v>9.7222222222222224E-3</v>
      </c>
      <c r="N128" s="45">
        <v>46131</v>
      </c>
      <c r="O128" s="46">
        <v>0.12638888888888888</v>
      </c>
      <c r="P128" s="45">
        <v>46131</v>
      </c>
      <c r="Q128" s="46">
        <v>0.17152777777777778</v>
      </c>
      <c r="R128" s="45">
        <v>46131</v>
      </c>
      <c r="S128" s="46">
        <v>0.21805555555555556</v>
      </c>
      <c r="T128" s="78">
        <f t="shared" si="8"/>
        <v>0.12638888888888888</v>
      </c>
      <c r="U128" s="77">
        <v>1</v>
      </c>
      <c r="V128" s="77">
        <v>2</v>
      </c>
      <c r="W128" s="77">
        <v>0</v>
      </c>
      <c r="X128" s="137" t="s">
        <v>108</v>
      </c>
      <c r="Y128" s="76" t="s">
        <v>429</v>
      </c>
    </row>
    <row r="129" spans="5:25" ht="28.5">
      <c r="E129" s="79" t="s">
        <v>31</v>
      </c>
      <c r="F129" s="19">
        <v>697</v>
      </c>
      <c r="G129" s="72" t="s">
        <v>427</v>
      </c>
      <c r="H129" s="19">
        <v>2163</v>
      </c>
      <c r="I129" s="19" t="s">
        <v>290</v>
      </c>
      <c r="J129" s="19" t="s">
        <v>21</v>
      </c>
      <c r="K129" s="19">
        <v>37</v>
      </c>
      <c r="L129" s="80">
        <v>46132</v>
      </c>
      <c r="M129" s="74">
        <v>7.1527777777777773E-2</v>
      </c>
      <c r="N129" s="80">
        <v>46132</v>
      </c>
      <c r="O129" s="74">
        <v>0.17847222222222223</v>
      </c>
      <c r="P129" s="80">
        <v>46132</v>
      </c>
      <c r="Q129" s="74">
        <v>0.70833333333333337</v>
      </c>
      <c r="R129" s="80">
        <v>46132</v>
      </c>
      <c r="S129" s="74">
        <v>0.77361111111111114</v>
      </c>
      <c r="T129" s="73">
        <f t="shared" si="8"/>
        <v>0.17847222222222223</v>
      </c>
      <c r="U129" s="19">
        <v>0</v>
      </c>
      <c r="V129" s="19">
        <v>3</v>
      </c>
      <c r="W129" s="19">
        <v>0</v>
      </c>
      <c r="X129" s="136" t="s">
        <v>108</v>
      </c>
      <c r="Y129" s="72" t="s">
        <v>430</v>
      </c>
    </row>
    <row r="130" spans="5:25" ht="15">
      <c r="E130" s="60" t="s">
        <v>31</v>
      </c>
      <c r="F130" s="12">
        <v>698</v>
      </c>
      <c r="G130" s="17" t="s">
        <v>432</v>
      </c>
      <c r="H130" s="12">
        <v>2318</v>
      </c>
      <c r="I130" s="12" t="s">
        <v>283</v>
      </c>
      <c r="J130" s="12" t="s">
        <v>21</v>
      </c>
      <c r="K130" s="12">
        <v>37</v>
      </c>
      <c r="L130" s="21">
        <v>46132</v>
      </c>
      <c r="M130" s="18">
        <v>0.83333333333333337</v>
      </c>
      <c r="N130" s="21">
        <v>46132</v>
      </c>
      <c r="O130" s="18">
        <v>0.95208333333333328</v>
      </c>
      <c r="P130" s="21">
        <v>46133</v>
      </c>
      <c r="Q130" s="18">
        <v>0.5180555555555556</v>
      </c>
      <c r="R130" s="21">
        <v>46133</v>
      </c>
      <c r="S130" s="18">
        <v>0.56944444444444442</v>
      </c>
      <c r="T130" s="73">
        <f t="shared" si="8"/>
        <v>0.95208333333333328</v>
      </c>
      <c r="U130" s="12">
        <v>0</v>
      </c>
      <c r="V130" s="12">
        <v>0</v>
      </c>
      <c r="W130" s="12">
        <v>0</v>
      </c>
      <c r="X130" s="135" t="s">
        <v>108</v>
      </c>
      <c r="Y130" s="17" t="s">
        <v>434</v>
      </c>
    </row>
    <row r="131" spans="5:25" ht="15">
      <c r="E131" s="13" t="s">
        <v>31</v>
      </c>
      <c r="F131" s="49">
        <v>699</v>
      </c>
      <c r="G131" s="55" t="s">
        <v>433</v>
      </c>
      <c r="H131" s="49">
        <v>270</v>
      </c>
      <c r="I131" s="49" t="s">
        <v>331</v>
      </c>
      <c r="J131" s="49" t="s">
        <v>21</v>
      </c>
      <c r="K131" s="49">
        <v>37</v>
      </c>
      <c r="L131" s="94">
        <v>46134</v>
      </c>
      <c r="M131" s="96">
        <v>3.4722222222222224E-2</v>
      </c>
      <c r="N131" s="94">
        <v>46134</v>
      </c>
      <c r="O131" s="96">
        <v>0.11527777777777778</v>
      </c>
      <c r="P131" s="94">
        <v>46134</v>
      </c>
      <c r="Q131" s="96">
        <v>0.34097222222222223</v>
      </c>
      <c r="R131" s="94">
        <v>46134</v>
      </c>
      <c r="S131" s="96">
        <v>0.36180555555555555</v>
      </c>
      <c r="T131" s="127">
        <f t="shared" si="8"/>
        <v>0.11527777777777778</v>
      </c>
      <c r="U131" s="49">
        <v>0</v>
      </c>
      <c r="V131" s="49">
        <v>0</v>
      </c>
      <c r="W131" s="49">
        <v>0</v>
      </c>
      <c r="X131" s="141" t="s">
        <v>108</v>
      </c>
      <c r="Y131" s="55" t="s">
        <v>206</v>
      </c>
    </row>
    <row r="132" spans="5:25" ht="15">
      <c r="E132" s="60" t="s">
        <v>31</v>
      </c>
      <c r="F132" s="12">
        <v>700</v>
      </c>
      <c r="G132" s="17" t="s">
        <v>435</v>
      </c>
      <c r="H132" s="12">
        <f>800+597+302</f>
        <v>1699</v>
      </c>
      <c r="I132" s="12"/>
      <c r="J132" s="12" t="s">
        <v>21</v>
      </c>
      <c r="K132" s="12">
        <v>37</v>
      </c>
      <c r="L132" s="21">
        <v>46134</v>
      </c>
      <c r="M132" s="18">
        <v>0.46250000000000002</v>
      </c>
      <c r="N132" s="21">
        <v>46134</v>
      </c>
      <c r="O132" s="18">
        <v>0.61388888888888893</v>
      </c>
      <c r="P132" s="21">
        <v>46135</v>
      </c>
      <c r="Q132" s="18">
        <v>0.13819444444444445</v>
      </c>
      <c r="R132" s="21">
        <v>46135</v>
      </c>
      <c r="S132" s="18">
        <v>0.19583333333333333</v>
      </c>
      <c r="T132" s="73">
        <f t="shared" si="8"/>
        <v>0.61388888888888893</v>
      </c>
      <c r="U132" s="12">
        <v>0</v>
      </c>
      <c r="V132" s="12">
        <v>0</v>
      </c>
      <c r="W132" s="12">
        <v>0</v>
      </c>
      <c r="X132" s="135" t="s">
        <v>108</v>
      </c>
      <c r="Y132" s="17" t="s">
        <v>440</v>
      </c>
    </row>
    <row r="133" spans="5:25" ht="28.5">
      <c r="E133" s="60" t="s">
        <v>31</v>
      </c>
      <c r="F133" s="12">
        <v>701</v>
      </c>
      <c r="G133" s="17" t="s">
        <v>436</v>
      </c>
      <c r="H133" s="12">
        <f>562+302+265+396</f>
        <v>1525</v>
      </c>
      <c r="I133" s="12"/>
      <c r="J133" s="12" t="s">
        <v>21</v>
      </c>
      <c r="K133" s="12">
        <v>37</v>
      </c>
      <c r="L133" s="21">
        <v>46135</v>
      </c>
      <c r="M133" s="18">
        <v>0.89097222222222228</v>
      </c>
      <c r="N133" s="21">
        <v>46136</v>
      </c>
      <c r="O133" s="18">
        <v>4.027777777777778E-2</v>
      </c>
      <c r="P133" s="21">
        <v>46136</v>
      </c>
      <c r="Q133" s="18">
        <v>0.42083333333333334</v>
      </c>
      <c r="R133" s="21">
        <v>46136</v>
      </c>
      <c r="S133" s="18">
        <v>0.4548611111111111</v>
      </c>
      <c r="T133" s="73">
        <f t="shared" si="8"/>
        <v>4.027777777777778E-2</v>
      </c>
      <c r="U133" s="12">
        <v>0</v>
      </c>
      <c r="V133" s="12">
        <v>2</v>
      </c>
      <c r="W133" s="12">
        <v>0</v>
      </c>
      <c r="X133" s="97" t="s">
        <v>372</v>
      </c>
      <c r="Y133" s="17" t="s">
        <v>441</v>
      </c>
    </row>
    <row r="134" spans="5:25" ht="28.5">
      <c r="E134" s="60" t="s">
        <v>31</v>
      </c>
      <c r="F134" s="12">
        <v>702</v>
      </c>
      <c r="G134" s="17" t="s">
        <v>437</v>
      </c>
      <c r="H134" s="12">
        <f>555+798+126</f>
        <v>1479</v>
      </c>
      <c r="I134" s="12"/>
      <c r="J134" s="12" t="s">
        <v>21</v>
      </c>
      <c r="K134" s="12">
        <v>37</v>
      </c>
      <c r="L134" s="21">
        <v>46136</v>
      </c>
      <c r="M134" s="18">
        <v>0.53472222222222221</v>
      </c>
      <c r="N134" s="21">
        <v>46136</v>
      </c>
      <c r="O134" s="18">
        <v>0.64236111111111116</v>
      </c>
      <c r="P134" s="21">
        <v>46136</v>
      </c>
      <c r="Q134" s="18">
        <v>0.91111111111111109</v>
      </c>
      <c r="R134" s="21">
        <v>46136</v>
      </c>
      <c r="S134" s="18">
        <v>0.94444444444444442</v>
      </c>
      <c r="T134" s="73">
        <f t="shared" si="8"/>
        <v>0.64236111111111116</v>
      </c>
      <c r="U134" s="12">
        <v>0</v>
      </c>
      <c r="V134" s="12">
        <v>0</v>
      </c>
      <c r="W134" s="12">
        <v>0</v>
      </c>
      <c r="X134" s="135" t="s">
        <v>372</v>
      </c>
      <c r="Y134" s="17" t="s">
        <v>442</v>
      </c>
    </row>
    <row r="135" spans="5:25" ht="25.5" customHeight="1">
      <c r="E135" s="60" t="s">
        <v>31</v>
      </c>
      <c r="F135" s="12">
        <v>703</v>
      </c>
      <c r="G135" s="17" t="s">
        <v>438</v>
      </c>
      <c r="H135" s="12">
        <f>555+798</f>
        <v>1353</v>
      </c>
      <c r="I135" s="12"/>
      <c r="J135" s="12" t="s">
        <v>21</v>
      </c>
      <c r="K135" s="12">
        <v>37</v>
      </c>
      <c r="L135" s="21">
        <v>46136</v>
      </c>
      <c r="M135" s="18">
        <v>0.99583333333333335</v>
      </c>
      <c r="N135" s="21">
        <v>46137</v>
      </c>
      <c r="O135" s="18">
        <v>0.10277777777777777</v>
      </c>
      <c r="P135" s="21">
        <v>46137</v>
      </c>
      <c r="Q135" s="18">
        <v>0.44374999999999998</v>
      </c>
      <c r="R135" s="21">
        <v>46137</v>
      </c>
      <c r="S135" s="18">
        <v>0.48402777777777778</v>
      </c>
      <c r="T135" s="73">
        <f t="shared" ref="T135:T141" si="9">O135+(D135/24)</f>
        <v>0.10277777777777777</v>
      </c>
      <c r="U135" s="12">
        <v>0</v>
      </c>
      <c r="V135" s="12">
        <v>0</v>
      </c>
      <c r="W135" s="12">
        <v>0</v>
      </c>
      <c r="X135" s="135" t="s">
        <v>372</v>
      </c>
      <c r="Y135" s="17"/>
    </row>
    <row r="136" spans="5:25" ht="15">
      <c r="E136" s="60" t="s">
        <v>31</v>
      </c>
      <c r="F136" s="12">
        <v>704</v>
      </c>
      <c r="G136" s="17" t="s">
        <v>439</v>
      </c>
      <c r="H136" s="12">
        <v>2338</v>
      </c>
      <c r="I136" s="12"/>
      <c r="J136" s="12" t="s">
        <v>21</v>
      </c>
      <c r="K136" s="12">
        <v>37</v>
      </c>
      <c r="L136" s="21">
        <v>46137</v>
      </c>
      <c r="M136" s="18">
        <v>0.52916666666666667</v>
      </c>
      <c r="N136" s="21">
        <v>46137</v>
      </c>
      <c r="O136" s="18">
        <v>0.64166666666666672</v>
      </c>
      <c r="P136" s="21">
        <v>46138</v>
      </c>
      <c r="Q136" s="18">
        <v>0.11666666666666667</v>
      </c>
      <c r="R136" s="21">
        <v>46138</v>
      </c>
      <c r="S136" s="18">
        <v>0.16180555555555556</v>
      </c>
      <c r="T136" s="73">
        <f t="shared" si="9"/>
        <v>0.64166666666666672</v>
      </c>
      <c r="U136" s="12">
        <v>0</v>
      </c>
      <c r="V136" s="12">
        <v>0</v>
      </c>
      <c r="W136" s="12">
        <v>0</v>
      </c>
      <c r="X136" s="135" t="s">
        <v>372</v>
      </c>
      <c r="Y136" s="17" t="s">
        <v>443</v>
      </c>
    </row>
    <row r="137" spans="5:25" ht="29.25" thickBot="1">
      <c r="E137" s="75" t="s">
        <v>31</v>
      </c>
      <c r="F137" s="77">
        <v>705</v>
      </c>
      <c r="G137" s="76" t="s">
        <v>444</v>
      </c>
      <c r="H137" s="77">
        <v>2759</v>
      </c>
      <c r="I137" s="77" t="s">
        <v>285</v>
      </c>
      <c r="J137" s="77" t="s">
        <v>21</v>
      </c>
      <c r="K137" s="77">
        <v>37</v>
      </c>
      <c r="L137" s="45">
        <v>46138</v>
      </c>
      <c r="M137" s="46">
        <v>0.23541666666666666</v>
      </c>
      <c r="N137" s="45">
        <v>46138</v>
      </c>
      <c r="O137" s="46">
        <v>0.33680555555555558</v>
      </c>
      <c r="P137" s="45">
        <v>46138</v>
      </c>
      <c r="Q137" s="46">
        <v>0.88749999999999996</v>
      </c>
      <c r="R137" s="45">
        <v>46138</v>
      </c>
      <c r="S137" s="46">
        <v>0.92152777777777772</v>
      </c>
      <c r="T137" s="78">
        <f t="shared" si="9"/>
        <v>0.33680555555555558</v>
      </c>
      <c r="U137" s="77">
        <v>0</v>
      </c>
      <c r="V137" s="77">
        <v>0</v>
      </c>
      <c r="W137" s="77">
        <v>0</v>
      </c>
      <c r="X137" s="137" t="s">
        <v>372</v>
      </c>
      <c r="Y137" s="76"/>
    </row>
    <row r="138" spans="5:25" ht="15">
      <c r="E138" s="125" t="s">
        <v>32</v>
      </c>
      <c r="F138" s="52">
        <v>706</v>
      </c>
      <c r="G138" s="143" t="s">
        <v>446</v>
      </c>
      <c r="H138" s="52">
        <v>885</v>
      </c>
      <c r="I138" s="52" t="s">
        <v>308</v>
      </c>
      <c r="J138" s="52" t="s">
        <v>21</v>
      </c>
      <c r="K138" s="52">
        <v>36</v>
      </c>
      <c r="L138" s="126">
        <v>46139</v>
      </c>
      <c r="M138" s="144">
        <v>5.9722222222222225E-2</v>
      </c>
      <c r="N138" s="126">
        <v>46139</v>
      </c>
      <c r="O138" s="144">
        <v>0.15347222222222223</v>
      </c>
      <c r="P138" s="126">
        <v>46139</v>
      </c>
      <c r="Q138" s="144">
        <v>0.66041666666666665</v>
      </c>
      <c r="R138" s="126">
        <v>46139</v>
      </c>
      <c r="S138" s="144">
        <v>0.68402777777777779</v>
      </c>
      <c r="T138" s="127">
        <f t="shared" si="9"/>
        <v>0.15347222222222223</v>
      </c>
      <c r="U138" s="52">
        <v>0</v>
      </c>
      <c r="V138" s="52">
        <v>0</v>
      </c>
      <c r="W138" s="52">
        <v>0</v>
      </c>
      <c r="X138" s="145" t="s">
        <v>372</v>
      </c>
      <c r="Y138" s="143" t="s">
        <v>445</v>
      </c>
    </row>
    <row r="139" spans="5:25" ht="29.25" thickBot="1">
      <c r="E139" s="75" t="s">
        <v>32</v>
      </c>
      <c r="F139" s="77">
        <v>707</v>
      </c>
      <c r="G139" s="76" t="s">
        <v>447</v>
      </c>
      <c r="H139" s="77">
        <v>1836</v>
      </c>
      <c r="I139" s="77" t="s">
        <v>308</v>
      </c>
      <c r="J139" s="77" t="s">
        <v>21</v>
      </c>
      <c r="K139" s="146">
        <v>36</v>
      </c>
      <c r="L139" s="147">
        <v>46139</v>
      </c>
      <c r="M139" s="148">
        <v>0.82222222222222219</v>
      </c>
      <c r="N139" s="147">
        <v>46139</v>
      </c>
      <c r="O139" s="148">
        <v>0.92638888888888893</v>
      </c>
      <c r="P139" s="147">
        <v>46140</v>
      </c>
      <c r="Q139" s="148">
        <v>0.37847222222222221</v>
      </c>
      <c r="R139" s="147">
        <v>46140</v>
      </c>
      <c r="S139" s="148">
        <v>0.41458333333333336</v>
      </c>
      <c r="T139" s="149">
        <f t="shared" si="9"/>
        <v>0.92638888888888893</v>
      </c>
      <c r="U139" s="146">
        <v>0</v>
      </c>
      <c r="V139" s="146">
        <v>0</v>
      </c>
      <c r="W139" s="77">
        <v>0</v>
      </c>
      <c r="X139" s="137" t="s">
        <v>372</v>
      </c>
      <c r="Y139" s="76"/>
    </row>
    <row r="140" spans="5:25" ht="15">
      <c r="E140" s="79" t="s">
        <v>33</v>
      </c>
      <c r="F140" s="19">
        <v>708</v>
      </c>
      <c r="G140" s="72" t="s">
        <v>448</v>
      </c>
      <c r="H140" s="19">
        <f>172+420+155</f>
        <v>747</v>
      </c>
      <c r="I140" s="19"/>
      <c r="J140" s="19" t="s">
        <v>21</v>
      </c>
      <c r="K140" s="19">
        <v>37</v>
      </c>
      <c r="L140" s="133">
        <v>46149</v>
      </c>
      <c r="M140" s="74">
        <v>0.71111111111111114</v>
      </c>
      <c r="N140" s="133">
        <v>46149</v>
      </c>
      <c r="O140" s="74">
        <v>0.84097222222222223</v>
      </c>
      <c r="P140" s="133">
        <v>46150</v>
      </c>
      <c r="Q140" s="74">
        <v>4.1666666666666664E-2</v>
      </c>
      <c r="R140" s="133">
        <v>46150</v>
      </c>
      <c r="S140" s="74">
        <v>7.8472222222222221E-2</v>
      </c>
      <c r="T140" s="73">
        <f t="shared" si="9"/>
        <v>0.84097222222222223</v>
      </c>
      <c r="U140" s="19">
        <v>0</v>
      </c>
      <c r="V140" s="19">
        <v>0</v>
      </c>
      <c r="W140" s="19">
        <v>0</v>
      </c>
      <c r="X140" s="136" t="s">
        <v>372</v>
      </c>
      <c r="Y140" s="72"/>
    </row>
    <row r="141" spans="5:25" ht="15">
      <c r="E141" s="60" t="s">
        <v>33</v>
      </c>
      <c r="F141" s="12">
        <v>709</v>
      </c>
      <c r="G141" s="17" t="s">
        <v>449</v>
      </c>
      <c r="H141" s="12">
        <v>1650</v>
      </c>
      <c r="I141" s="12"/>
      <c r="J141" s="12" t="s">
        <v>21</v>
      </c>
      <c r="K141" s="12">
        <v>37</v>
      </c>
      <c r="L141" s="142">
        <v>46150</v>
      </c>
      <c r="M141" s="18">
        <v>0.47083333333333333</v>
      </c>
      <c r="N141" s="142">
        <v>46150</v>
      </c>
      <c r="O141" s="18">
        <v>0.58472222222222225</v>
      </c>
      <c r="P141" s="142">
        <v>46150</v>
      </c>
      <c r="Q141" s="18">
        <v>0.99791666666666667</v>
      </c>
      <c r="R141" s="142">
        <v>46151</v>
      </c>
      <c r="S141" s="18">
        <v>2.7083333333333334E-2</v>
      </c>
      <c r="T141" s="12">
        <f t="shared" si="9"/>
        <v>0.58472222222222225</v>
      </c>
      <c r="U141" s="12">
        <v>0</v>
      </c>
      <c r="V141" s="12">
        <v>0</v>
      </c>
      <c r="W141" s="12">
        <v>0</v>
      </c>
      <c r="X141" s="135" t="s">
        <v>372</v>
      </c>
      <c r="Y141" s="17"/>
    </row>
    <row r="142" spans="5:25" ht="15.75" thickBot="1">
      <c r="E142" s="75" t="s">
        <v>33</v>
      </c>
      <c r="F142" s="77">
        <v>710</v>
      </c>
      <c r="G142" s="76" t="s">
        <v>450</v>
      </c>
      <c r="H142" s="77">
        <v>1936</v>
      </c>
      <c r="I142" s="77"/>
      <c r="J142" s="77" t="s">
        <v>21</v>
      </c>
      <c r="K142" s="77">
        <v>37</v>
      </c>
      <c r="L142" s="147">
        <v>46151</v>
      </c>
      <c r="M142" s="46">
        <v>9.8611111111111108E-2</v>
      </c>
      <c r="N142" s="147">
        <v>46151</v>
      </c>
      <c r="O142" s="46">
        <v>0.20694444444444443</v>
      </c>
      <c r="P142" s="147">
        <v>46151</v>
      </c>
      <c r="Q142" s="46">
        <v>0.68333333333333324</v>
      </c>
      <c r="R142" s="147">
        <v>46151</v>
      </c>
      <c r="S142" s="46">
        <v>0.72222222222222221</v>
      </c>
      <c r="T142" s="77"/>
      <c r="U142" s="77">
        <v>0</v>
      </c>
      <c r="V142" s="77">
        <v>0</v>
      </c>
      <c r="W142" s="77">
        <v>0</v>
      </c>
      <c r="X142" s="137" t="s">
        <v>372</v>
      </c>
      <c r="Y142" s="76" t="s">
        <v>453</v>
      </c>
    </row>
    <row r="143" spans="5:25" ht="28.5">
      <c r="E143" s="79" t="s">
        <v>34</v>
      </c>
      <c r="F143" s="19">
        <v>711</v>
      </c>
      <c r="G143" s="72" t="s">
        <v>456</v>
      </c>
      <c r="H143" s="19">
        <v>2020</v>
      </c>
      <c r="I143" s="19"/>
      <c r="J143" s="12" t="s">
        <v>21</v>
      </c>
      <c r="K143" s="12">
        <v>37</v>
      </c>
      <c r="L143" s="80">
        <v>46154</v>
      </c>
      <c r="M143" s="74">
        <v>3.8194444444444448E-2</v>
      </c>
      <c r="N143" s="80">
        <v>46154</v>
      </c>
      <c r="O143" s="74">
        <v>0.12986111111111112</v>
      </c>
      <c r="P143" s="80">
        <v>46154</v>
      </c>
      <c r="Q143" s="74">
        <v>0.62569444444444444</v>
      </c>
      <c r="R143" s="80">
        <v>46154</v>
      </c>
      <c r="S143" s="74">
        <v>0.65555555555555556</v>
      </c>
      <c r="T143" s="19"/>
      <c r="U143" s="19">
        <v>0</v>
      </c>
      <c r="V143" s="19">
        <v>0</v>
      </c>
      <c r="W143" s="19">
        <v>0</v>
      </c>
      <c r="X143" s="136" t="s">
        <v>372</v>
      </c>
      <c r="Y143" s="72" t="s">
        <v>455</v>
      </c>
    </row>
    <row r="144" spans="5:25" ht="28.5">
      <c r="E144" s="60" t="s">
        <v>34</v>
      </c>
      <c r="F144" s="12">
        <v>712</v>
      </c>
      <c r="G144" s="17" t="s">
        <v>457</v>
      </c>
      <c r="H144" s="12">
        <v>2540</v>
      </c>
      <c r="I144" s="12" t="s">
        <v>318</v>
      </c>
      <c r="J144" s="12" t="s">
        <v>21</v>
      </c>
      <c r="K144" s="12">
        <v>35</v>
      </c>
      <c r="L144" s="80">
        <v>46155</v>
      </c>
      <c r="M144" s="18">
        <v>2.9166666666666667E-2</v>
      </c>
      <c r="N144" s="80">
        <v>46155</v>
      </c>
      <c r="O144" s="18">
        <v>0.12569444444444444</v>
      </c>
      <c r="P144" s="80">
        <v>46155</v>
      </c>
      <c r="Q144" s="74">
        <v>0.71319444444444446</v>
      </c>
      <c r="R144" s="80">
        <v>46155</v>
      </c>
      <c r="S144" s="18">
        <v>0.73958333333333337</v>
      </c>
      <c r="T144" s="12"/>
      <c r="U144" s="12">
        <v>0</v>
      </c>
      <c r="V144" s="12">
        <v>0</v>
      </c>
      <c r="W144" s="12">
        <v>0</v>
      </c>
      <c r="X144" s="135" t="s">
        <v>372</v>
      </c>
      <c r="Y144" s="17"/>
    </row>
    <row r="145" spans="5:25" ht="15">
      <c r="E145" s="60" t="s">
        <v>34</v>
      </c>
      <c r="F145" s="12">
        <v>713</v>
      </c>
      <c r="G145" s="17" t="s">
        <v>459</v>
      </c>
      <c r="H145" s="12">
        <v>1351</v>
      </c>
      <c r="I145" s="12" t="s">
        <v>283</v>
      </c>
      <c r="J145" s="12" t="s">
        <v>21</v>
      </c>
      <c r="K145" s="12">
        <v>35</v>
      </c>
      <c r="L145" s="80">
        <v>46155</v>
      </c>
      <c r="M145" s="18">
        <v>0.84652777777777777</v>
      </c>
      <c r="N145" s="80">
        <v>46155</v>
      </c>
      <c r="O145" s="18">
        <v>0.95694444444444449</v>
      </c>
      <c r="P145" s="80">
        <v>46156</v>
      </c>
      <c r="Q145" s="18">
        <v>0.29722222222222222</v>
      </c>
      <c r="R145" s="80">
        <v>46156</v>
      </c>
      <c r="S145" s="18">
        <v>0.34722222222222221</v>
      </c>
      <c r="T145" s="12"/>
      <c r="U145" s="12">
        <v>0</v>
      </c>
      <c r="V145" s="12">
        <v>0</v>
      </c>
      <c r="W145" s="12">
        <v>0</v>
      </c>
      <c r="X145" s="135" t="s">
        <v>372</v>
      </c>
      <c r="Y145" s="17" t="s">
        <v>458</v>
      </c>
    </row>
    <row r="146" spans="5:25" ht="30">
      <c r="E146" s="60" t="s">
        <v>34</v>
      </c>
      <c r="F146" s="12">
        <v>714</v>
      </c>
      <c r="G146" s="17" t="s">
        <v>460</v>
      </c>
      <c r="H146" s="12">
        <v>1197</v>
      </c>
      <c r="I146" s="12" t="s">
        <v>297</v>
      </c>
      <c r="J146" s="12" t="s">
        <v>423</v>
      </c>
      <c r="K146" s="12">
        <v>100</v>
      </c>
      <c r="L146" s="80">
        <v>46156</v>
      </c>
      <c r="M146" s="18">
        <v>0.44583333333333336</v>
      </c>
      <c r="N146" s="80">
        <v>46156</v>
      </c>
      <c r="O146" s="18">
        <v>0.62152777777777779</v>
      </c>
      <c r="P146" s="80">
        <v>46156</v>
      </c>
      <c r="Q146" s="18">
        <v>0.69444444444444442</v>
      </c>
      <c r="R146" s="80">
        <v>46156</v>
      </c>
      <c r="S146" s="18">
        <v>0.74583333333333335</v>
      </c>
      <c r="T146" s="12"/>
      <c r="U146" s="12">
        <v>0</v>
      </c>
      <c r="V146" s="12">
        <v>0</v>
      </c>
      <c r="W146" s="12">
        <v>0</v>
      </c>
      <c r="X146" s="135" t="s">
        <v>372</v>
      </c>
      <c r="Y146" s="17" t="s">
        <v>462</v>
      </c>
    </row>
    <row r="147" spans="5:25" ht="15">
      <c r="E147" s="60" t="s">
        <v>34</v>
      </c>
      <c r="F147" s="12">
        <v>715</v>
      </c>
      <c r="G147" s="17" t="s">
        <v>461</v>
      </c>
      <c r="H147" s="12">
        <v>2103</v>
      </c>
      <c r="I147" s="12" t="s">
        <v>283</v>
      </c>
      <c r="J147" s="12" t="s">
        <v>21</v>
      </c>
      <c r="K147" s="12">
        <v>35</v>
      </c>
      <c r="L147" s="80">
        <v>46156</v>
      </c>
      <c r="M147" s="18">
        <v>0.78194444444444444</v>
      </c>
      <c r="N147" s="80">
        <v>46156</v>
      </c>
      <c r="O147" s="18">
        <v>0.90277777777777779</v>
      </c>
      <c r="P147" s="80">
        <v>46157</v>
      </c>
      <c r="Q147" s="18">
        <v>0.41736111111111113</v>
      </c>
      <c r="R147" s="80">
        <v>46157</v>
      </c>
      <c r="S147" s="18">
        <v>0.4465277777777778</v>
      </c>
      <c r="T147" s="12"/>
      <c r="U147" s="12">
        <v>0</v>
      </c>
      <c r="V147" s="12">
        <v>0</v>
      </c>
      <c r="W147" s="12">
        <v>0</v>
      </c>
      <c r="X147" s="135" t="s">
        <v>372</v>
      </c>
      <c r="Y147" s="17"/>
    </row>
    <row r="148" spans="5:25" ht="15">
      <c r="E148" s="60" t="s">
        <v>34</v>
      </c>
      <c r="F148" s="12">
        <v>716</v>
      </c>
      <c r="G148" s="17" t="s">
        <v>463</v>
      </c>
      <c r="H148" s="12">
        <f>450+700</f>
        <v>1150</v>
      </c>
      <c r="I148" s="12" t="s">
        <v>464</v>
      </c>
      <c r="J148" s="12" t="s">
        <v>21</v>
      </c>
      <c r="K148" s="12">
        <v>35</v>
      </c>
      <c r="L148" s="80">
        <v>46157</v>
      </c>
      <c r="M148" s="18">
        <v>0.56388888888888888</v>
      </c>
      <c r="N148" s="80">
        <v>46157</v>
      </c>
      <c r="O148" s="18">
        <v>0.69305555555555554</v>
      </c>
      <c r="P148" s="80">
        <v>46157</v>
      </c>
      <c r="Q148" s="18">
        <v>0.98819444444444449</v>
      </c>
      <c r="R148" s="80">
        <v>46158</v>
      </c>
      <c r="S148" s="18">
        <v>2.5694444444444443E-2</v>
      </c>
      <c r="T148" s="12"/>
      <c r="U148" s="12">
        <v>0</v>
      </c>
      <c r="V148" s="12">
        <v>0</v>
      </c>
      <c r="W148" s="12">
        <v>0</v>
      </c>
      <c r="X148" s="135" t="s">
        <v>372</v>
      </c>
      <c r="Y148" s="17"/>
    </row>
    <row r="149" spans="5:25" ht="15">
      <c r="E149" s="60" t="s">
        <v>34</v>
      </c>
      <c r="F149" s="12">
        <v>717</v>
      </c>
      <c r="G149" s="17" t="s">
        <v>465</v>
      </c>
      <c r="H149" s="12">
        <v>2058</v>
      </c>
      <c r="I149" s="12" t="s">
        <v>283</v>
      </c>
      <c r="J149" s="12" t="s">
        <v>466</v>
      </c>
      <c r="K149" s="12" t="s">
        <v>217</v>
      </c>
      <c r="L149" s="80">
        <v>46158</v>
      </c>
      <c r="M149" s="18">
        <v>0.1111111111111111</v>
      </c>
      <c r="N149" s="80">
        <v>46158</v>
      </c>
      <c r="O149" s="18">
        <v>0.22361111111111112</v>
      </c>
      <c r="P149" s="80">
        <v>46158</v>
      </c>
      <c r="Q149" s="18">
        <v>0.72777777777777775</v>
      </c>
      <c r="R149" s="80">
        <v>46158</v>
      </c>
      <c r="S149" s="18">
        <v>0.7631944444444444</v>
      </c>
      <c r="T149" s="12"/>
      <c r="U149" s="12">
        <v>0</v>
      </c>
      <c r="V149" s="12">
        <v>0</v>
      </c>
      <c r="W149" s="12">
        <v>0</v>
      </c>
      <c r="X149" s="135" t="s">
        <v>372</v>
      </c>
      <c r="Y149" s="17" t="s">
        <v>467</v>
      </c>
    </row>
    <row r="150" spans="5:25" ht="15.75" thickBot="1">
      <c r="E150" s="60" t="s">
        <v>34</v>
      </c>
      <c r="F150" s="77">
        <v>718</v>
      </c>
      <c r="G150" s="76" t="s">
        <v>468</v>
      </c>
      <c r="H150" s="77">
        <v>2039</v>
      </c>
      <c r="I150" s="77" t="s">
        <v>287</v>
      </c>
      <c r="J150" s="77" t="s">
        <v>466</v>
      </c>
      <c r="K150" s="77" t="s">
        <v>217</v>
      </c>
      <c r="L150" s="45">
        <v>46158</v>
      </c>
      <c r="M150" s="46">
        <v>0.83333333333333337</v>
      </c>
      <c r="N150" s="45">
        <v>46158</v>
      </c>
      <c r="O150" s="46">
        <v>0.94652777777777775</v>
      </c>
      <c r="P150" s="45">
        <v>46159</v>
      </c>
      <c r="Q150" s="46">
        <v>0.44583333333333336</v>
      </c>
      <c r="R150" s="45">
        <v>46159</v>
      </c>
      <c r="S150" s="46">
        <v>0.47916666666666669</v>
      </c>
      <c r="T150" s="77"/>
      <c r="U150" s="77">
        <v>0</v>
      </c>
      <c r="V150" s="77">
        <v>0</v>
      </c>
      <c r="W150" s="77">
        <v>0</v>
      </c>
      <c r="X150" s="137" t="s">
        <v>372</v>
      </c>
      <c r="Y150" s="76" t="s">
        <v>469</v>
      </c>
    </row>
    <row r="151" spans="5:25" ht="28.5">
      <c r="E151" s="60" t="s">
        <v>35</v>
      </c>
      <c r="F151" s="19">
        <v>719</v>
      </c>
      <c r="G151" s="72" t="s">
        <v>471</v>
      </c>
      <c r="H151" s="19">
        <v>2390</v>
      </c>
      <c r="I151" s="19" t="s">
        <v>331</v>
      </c>
      <c r="J151" s="19" t="s">
        <v>21</v>
      </c>
      <c r="K151" s="19">
        <v>37</v>
      </c>
      <c r="L151" s="80">
        <v>46159</v>
      </c>
      <c r="M151" s="74">
        <v>0.55972222222222223</v>
      </c>
      <c r="N151" s="80">
        <v>46159</v>
      </c>
      <c r="O151" s="74">
        <v>0.66180555555555554</v>
      </c>
      <c r="P151" s="80">
        <v>46160</v>
      </c>
      <c r="Q151" s="74">
        <v>0.24444444444444444</v>
      </c>
      <c r="R151" s="80">
        <v>46160</v>
      </c>
      <c r="S151" s="74">
        <v>0.28333333333333333</v>
      </c>
      <c r="T151" s="19"/>
      <c r="U151" s="19">
        <v>0</v>
      </c>
      <c r="V151" s="19">
        <v>1</v>
      </c>
      <c r="W151" s="19">
        <v>0</v>
      </c>
      <c r="X151" s="136" t="s">
        <v>372</v>
      </c>
      <c r="Y151" s="72" t="s">
        <v>472</v>
      </c>
    </row>
    <row r="152" spans="5:25" ht="15">
      <c r="E152" s="60" t="s">
        <v>35</v>
      </c>
      <c r="F152" s="12">
        <v>720</v>
      </c>
      <c r="G152" s="17" t="s">
        <v>473</v>
      </c>
      <c r="H152" s="12">
        <v>1200</v>
      </c>
      <c r="I152" s="12" t="s">
        <v>287</v>
      </c>
      <c r="J152" s="12" t="s">
        <v>21</v>
      </c>
      <c r="K152" s="12">
        <v>35</v>
      </c>
      <c r="L152" s="80">
        <v>46160</v>
      </c>
      <c r="M152" s="18">
        <v>0.40069444444444446</v>
      </c>
      <c r="N152" s="80">
        <v>46160</v>
      </c>
      <c r="O152" s="18">
        <v>0.50694444444444442</v>
      </c>
      <c r="P152" s="80">
        <v>46160</v>
      </c>
      <c r="Q152" s="18">
        <v>0.8125</v>
      </c>
      <c r="R152" s="80">
        <v>46160</v>
      </c>
      <c r="S152" s="18">
        <v>0.86250000000000004</v>
      </c>
      <c r="T152" s="12"/>
      <c r="U152" s="12">
        <v>0</v>
      </c>
      <c r="V152" s="12">
        <v>0</v>
      </c>
      <c r="W152" s="12">
        <v>0</v>
      </c>
      <c r="X152" s="135" t="s">
        <v>372</v>
      </c>
      <c r="Y152" s="17"/>
    </row>
    <row r="153" spans="5:25" ht="15">
      <c r="E153" s="60" t="s">
        <v>35</v>
      </c>
      <c r="F153" s="12">
        <v>721</v>
      </c>
      <c r="G153" s="17" t="s">
        <v>474</v>
      </c>
      <c r="H153" s="12">
        <f>822+304+325</f>
        <v>1451</v>
      </c>
      <c r="I153" s="12" t="s">
        <v>475</v>
      </c>
      <c r="J153" s="12" t="s">
        <v>476</v>
      </c>
      <c r="K153" s="12" t="s">
        <v>304</v>
      </c>
      <c r="L153" s="80">
        <v>46161</v>
      </c>
      <c r="M153" s="18">
        <v>0.17152777777777778</v>
      </c>
      <c r="N153" s="80">
        <v>46161</v>
      </c>
      <c r="O153" s="18">
        <v>0.29305555555555557</v>
      </c>
      <c r="P153" s="80">
        <v>46161</v>
      </c>
      <c r="Q153" s="18">
        <v>0.43888888888888888</v>
      </c>
      <c r="R153" s="80">
        <v>46161</v>
      </c>
      <c r="S153" s="18">
        <v>0.46041666666666664</v>
      </c>
      <c r="T153" s="12"/>
      <c r="U153" s="12">
        <v>0</v>
      </c>
      <c r="V153" s="12">
        <v>0</v>
      </c>
      <c r="W153" s="12">
        <v>0</v>
      </c>
      <c r="X153" s="135" t="s">
        <v>372</v>
      </c>
      <c r="Y153" s="17" t="s">
        <v>477</v>
      </c>
    </row>
    <row r="154" spans="5:25" ht="15">
      <c r="E154" s="60" t="s">
        <v>35</v>
      </c>
      <c r="F154" s="12">
        <v>722</v>
      </c>
      <c r="G154" s="17" t="s">
        <v>478</v>
      </c>
      <c r="H154" s="12">
        <v>2514</v>
      </c>
      <c r="I154" s="12" t="s">
        <v>249</v>
      </c>
      <c r="J154" s="19" t="s">
        <v>21</v>
      </c>
      <c r="K154" s="12">
        <v>35</v>
      </c>
      <c r="L154" s="80">
        <v>46161</v>
      </c>
      <c r="M154" s="18">
        <v>0.66736111111111107</v>
      </c>
      <c r="N154" s="80">
        <v>46161</v>
      </c>
      <c r="O154" s="18">
        <v>0.79652777777777772</v>
      </c>
      <c r="P154" s="80">
        <v>46162</v>
      </c>
      <c r="Q154" s="18">
        <v>0.37847222222222221</v>
      </c>
      <c r="R154" s="80">
        <v>46162</v>
      </c>
      <c r="S154" s="18">
        <v>0.41805555555555557</v>
      </c>
      <c r="T154" s="12"/>
      <c r="U154" s="12">
        <v>0</v>
      </c>
      <c r="V154" s="12">
        <v>0</v>
      </c>
      <c r="W154" s="12">
        <v>0</v>
      </c>
      <c r="X154" s="135" t="s">
        <v>372</v>
      </c>
      <c r="Y154" s="17"/>
    </row>
    <row r="155" spans="5:25" ht="28.5">
      <c r="E155" s="60" t="s">
        <v>35</v>
      </c>
      <c r="F155" s="12">
        <v>723</v>
      </c>
      <c r="G155" s="17" t="s">
        <v>479</v>
      </c>
      <c r="H155" s="12"/>
      <c r="I155" s="12" t="s">
        <v>297</v>
      </c>
      <c r="J155" s="12" t="s">
        <v>481</v>
      </c>
      <c r="K155" s="12" t="s">
        <v>482</v>
      </c>
      <c r="L155" s="80">
        <v>46162</v>
      </c>
      <c r="M155" s="18">
        <v>0.47569444444444442</v>
      </c>
      <c r="N155" s="80">
        <v>46162</v>
      </c>
      <c r="O155" s="18">
        <v>0.61805555555555558</v>
      </c>
      <c r="P155" s="80">
        <v>46163</v>
      </c>
      <c r="Q155" s="18">
        <v>0.11388888888888889</v>
      </c>
      <c r="R155" s="80">
        <v>46163</v>
      </c>
      <c r="S155" s="18">
        <v>0.16180555555555556</v>
      </c>
      <c r="T155" s="12"/>
      <c r="U155" s="12">
        <v>0</v>
      </c>
      <c r="V155" s="12">
        <v>1</v>
      </c>
      <c r="W155" s="12">
        <v>0</v>
      </c>
      <c r="X155" s="135" t="s">
        <v>372</v>
      </c>
      <c r="Y155" s="98" t="s">
        <v>480</v>
      </c>
    </row>
    <row r="156" spans="5:25" ht="28.5">
      <c r="E156" s="60" t="s">
        <v>35</v>
      </c>
      <c r="F156" s="12">
        <v>724</v>
      </c>
      <c r="G156" s="17" t="s">
        <v>483</v>
      </c>
      <c r="H156" s="12">
        <v>2103</v>
      </c>
      <c r="I156" s="12" t="s">
        <v>290</v>
      </c>
      <c r="J156" s="12" t="s">
        <v>484</v>
      </c>
      <c r="K156" s="12" t="s">
        <v>485</v>
      </c>
      <c r="L156" s="80">
        <v>46163</v>
      </c>
      <c r="M156" s="18">
        <v>0.22083333333333333</v>
      </c>
      <c r="N156" s="80">
        <v>46163</v>
      </c>
      <c r="O156" s="18">
        <v>0.35833333333333334</v>
      </c>
      <c r="P156" s="80">
        <v>46163</v>
      </c>
      <c r="Q156" s="18">
        <v>0.8256944444444444</v>
      </c>
      <c r="R156" s="80">
        <v>46163</v>
      </c>
      <c r="S156" s="18">
        <v>0.85555555555555551</v>
      </c>
      <c r="T156" s="12"/>
      <c r="U156" s="12">
        <v>0</v>
      </c>
      <c r="V156" s="12">
        <v>1</v>
      </c>
      <c r="W156" s="12">
        <v>0</v>
      </c>
      <c r="X156" s="135" t="s">
        <v>372</v>
      </c>
      <c r="Y156" s="17" t="s">
        <v>486</v>
      </c>
    </row>
    <row r="157" spans="5:25" ht="15">
      <c r="E157" s="60" t="s">
        <v>35</v>
      </c>
      <c r="F157" s="12">
        <v>725</v>
      </c>
      <c r="G157" s="17" t="s">
        <v>488</v>
      </c>
      <c r="H157" s="12">
        <f>824+333</f>
        <v>1157</v>
      </c>
      <c r="I157" s="12" t="s">
        <v>308</v>
      </c>
      <c r="J157" s="12" t="s">
        <v>487</v>
      </c>
      <c r="K157" s="12" t="s">
        <v>237</v>
      </c>
      <c r="L157" s="80">
        <v>46164</v>
      </c>
      <c r="M157" s="18">
        <v>4.4444444444444446E-2</v>
      </c>
      <c r="N157" s="80">
        <v>46164</v>
      </c>
      <c r="O157" s="18">
        <v>0.15833333333333333</v>
      </c>
      <c r="P157" s="80">
        <v>46164</v>
      </c>
      <c r="Q157" s="18">
        <v>0.32430555555555557</v>
      </c>
      <c r="R157" s="80">
        <v>46164</v>
      </c>
      <c r="S157" s="18">
        <v>0.34236111111111112</v>
      </c>
      <c r="T157" s="12"/>
      <c r="U157" s="12">
        <v>0</v>
      </c>
      <c r="V157" s="12">
        <v>0</v>
      </c>
      <c r="W157" s="12">
        <v>0</v>
      </c>
      <c r="X157" s="135" t="s">
        <v>372</v>
      </c>
      <c r="Y157" s="17"/>
    </row>
    <row r="158" spans="5:25" ht="30" customHeight="1">
      <c r="E158" s="60" t="s">
        <v>35</v>
      </c>
      <c r="F158" s="12">
        <v>726</v>
      </c>
      <c r="G158" s="17" t="s">
        <v>490</v>
      </c>
      <c r="H158" s="12">
        <v>2221</v>
      </c>
      <c r="I158" s="12" t="s">
        <v>283</v>
      </c>
      <c r="J158" s="19" t="s">
        <v>21</v>
      </c>
      <c r="K158" s="12">
        <v>37</v>
      </c>
      <c r="L158" s="80">
        <v>46164</v>
      </c>
      <c r="M158" s="18">
        <v>0.7680555555555556</v>
      </c>
      <c r="N158" s="80">
        <v>46164</v>
      </c>
      <c r="O158" s="18">
        <v>0.86527777777777781</v>
      </c>
      <c r="P158" s="80">
        <v>46165</v>
      </c>
      <c r="Q158" s="18">
        <v>0.40763888888888888</v>
      </c>
      <c r="R158" s="80">
        <v>46165</v>
      </c>
      <c r="S158" s="18">
        <v>0.44166666666666665</v>
      </c>
      <c r="T158" s="12"/>
      <c r="U158" s="12">
        <v>0</v>
      </c>
      <c r="V158" s="12">
        <v>1</v>
      </c>
      <c r="W158" s="12">
        <v>0</v>
      </c>
      <c r="X158" s="84" t="s">
        <v>108</v>
      </c>
      <c r="Y158" s="17" t="s">
        <v>489</v>
      </c>
    </row>
    <row r="159" spans="5:25" ht="15.75" thickBot="1">
      <c r="E159" s="75" t="s">
        <v>35</v>
      </c>
      <c r="F159" s="77">
        <v>727</v>
      </c>
      <c r="G159" s="76" t="s">
        <v>491</v>
      </c>
      <c r="H159" s="77">
        <v>2344</v>
      </c>
      <c r="I159" s="77" t="s">
        <v>290</v>
      </c>
      <c r="J159" s="77" t="s">
        <v>492</v>
      </c>
      <c r="K159" s="77" t="s">
        <v>493</v>
      </c>
      <c r="L159" s="45">
        <v>46165</v>
      </c>
      <c r="M159" s="46">
        <v>0.51875000000000004</v>
      </c>
      <c r="N159" s="45">
        <v>46165</v>
      </c>
      <c r="O159" s="46">
        <v>0.65</v>
      </c>
      <c r="P159" s="45">
        <v>46166</v>
      </c>
      <c r="Q159" s="46">
        <v>0.22361111111111112</v>
      </c>
      <c r="R159" s="45">
        <v>46166</v>
      </c>
      <c r="S159" s="46">
        <v>0.26180555555555557</v>
      </c>
      <c r="T159" s="77"/>
      <c r="U159" s="77">
        <v>0</v>
      </c>
      <c r="V159" s="77">
        <v>1</v>
      </c>
      <c r="W159" s="77">
        <v>0</v>
      </c>
      <c r="X159" s="137" t="s">
        <v>108</v>
      </c>
      <c r="Y159" s="76" t="s">
        <v>495</v>
      </c>
    </row>
    <row r="160" spans="5:25" ht="28.5">
      <c r="E160" s="79" t="s">
        <v>36</v>
      </c>
      <c r="F160" s="19">
        <v>728</v>
      </c>
      <c r="G160" s="72" t="s">
        <v>496</v>
      </c>
      <c r="H160" s="19">
        <v>2285</v>
      </c>
      <c r="I160" s="19" t="s">
        <v>331</v>
      </c>
      <c r="J160" s="19" t="s">
        <v>492</v>
      </c>
      <c r="K160" s="19" t="s">
        <v>497</v>
      </c>
      <c r="L160" s="80">
        <v>46166</v>
      </c>
      <c r="M160" s="74">
        <v>0.3347222222222222</v>
      </c>
      <c r="N160" s="80">
        <v>46166</v>
      </c>
      <c r="O160" s="74">
        <v>0.45902777777777776</v>
      </c>
      <c r="P160" s="80">
        <v>46167</v>
      </c>
      <c r="Q160" s="74">
        <v>1.5972222222222221E-2</v>
      </c>
      <c r="R160" s="80">
        <v>46167</v>
      </c>
      <c r="S160" s="74">
        <v>5.4166666666666669E-2</v>
      </c>
      <c r="T160" s="19"/>
      <c r="U160" s="19">
        <v>0</v>
      </c>
      <c r="V160" s="19">
        <v>0</v>
      </c>
      <c r="W160" s="19">
        <v>0</v>
      </c>
      <c r="X160" s="136" t="s">
        <v>108</v>
      </c>
      <c r="Y160" s="72" t="s">
        <v>498</v>
      </c>
    </row>
    <row r="161" spans="5:34" ht="28.5">
      <c r="E161" s="79" t="s">
        <v>36</v>
      </c>
      <c r="F161" s="12">
        <v>729</v>
      </c>
      <c r="G161" s="17" t="s">
        <v>500</v>
      </c>
      <c r="H161" s="12">
        <v>2001</v>
      </c>
      <c r="I161" s="17" t="s">
        <v>502</v>
      </c>
      <c r="J161" s="12" t="s">
        <v>21</v>
      </c>
      <c r="K161" s="12" t="s">
        <v>501</v>
      </c>
      <c r="L161" s="80">
        <v>46168</v>
      </c>
      <c r="M161" s="18">
        <v>0.56736111111111109</v>
      </c>
      <c r="N161" s="80">
        <v>46168</v>
      </c>
      <c r="O161" s="18">
        <v>0.8125</v>
      </c>
      <c r="P161" s="80">
        <v>46169</v>
      </c>
      <c r="Q161" s="18">
        <v>0.27569444444444446</v>
      </c>
      <c r="R161" s="80">
        <v>46169</v>
      </c>
      <c r="S161" s="18">
        <v>0.30972222222222223</v>
      </c>
      <c r="T161" s="12"/>
      <c r="U161" s="12">
        <v>0</v>
      </c>
      <c r="V161" s="12">
        <v>1</v>
      </c>
      <c r="W161" s="12">
        <v>0</v>
      </c>
      <c r="X161" s="136" t="s">
        <v>108</v>
      </c>
      <c r="Y161" s="163" t="s">
        <v>499</v>
      </c>
    </row>
    <row r="162" spans="5:34" ht="15">
      <c r="E162" s="79" t="s">
        <v>36</v>
      </c>
      <c r="F162" s="12">
        <v>730</v>
      </c>
      <c r="G162" s="17" t="s">
        <v>503</v>
      </c>
      <c r="H162" s="12">
        <f>822+825+189</f>
        <v>1836</v>
      </c>
      <c r="I162" s="12"/>
      <c r="J162" s="12" t="s">
        <v>466</v>
      </c>
      <c r="K162" s="12" t="s">
        <v>504</v>
      </c>
      <c r="L162" s="80">
        <v>46169</v>
      </c>
      <c r="M162" s="18">
        <v>0.48958333333333331</v>
      </c>
      <c r="N162" s="80">
        <v>46169</v>
      </c>
      <c r="O162" s="18">
        <v>0.65347222222222223</v>
      </c>
      <c r="P162" s="80">
        <v>46169</v>
      </c>
      <c r="Q162" s="18">
        <v>0.97847222222222219</v>
      </c>
      <c r="R162" s="80">
        <v>46170</v>
      </c>
      <c r="S162" s="18">
        <v>1.0416666666666666E-2</v>
      </c>
      <c r="T162" s="12"/>
      <c r="U162" s="12">
        <v>0</v>
      </c>
      <c r="V162" s="12">
        <v>0</v>
      </c>
      <c r="W162" s="12">
        <v>0</v>
      </c>
      <c r="X162" s="136" t="s">
        <v>108</v>
      </c>
      <c r="Y162" s="17" t="s">
        <v>505</v>
      </c>
    </row>
    <row r="163" spans="5:34" ht="28.5">
      <c r="E163" s="79" t="s">
        <v>36</v>
      </c>
      <c r="F163" s="12">
        <v>731</v>
      </c>
      <c r="G163" s="17" t="s">
        <v>506</v>
      </c>
      <c r="H163" s="12">
        <v>1749</v>
      </c>
      <c r="I163" s="12" t="s">
        <v>318</v>
      </c>
      <c r="J163" s="12" t="s">
        <v>21</v>
      </c>
      <c r="K163" s="12">
        <v>37</v>
      </c>
      <c r="L163" s="80">
        <v>46170</v>
      </c>
      <c r="M163" s="18">
        <v>0.72083333333333333</v>
      </c>
      <c r="N163" s="80">
        <v>46170</v>
      </c>
      <c r="O163" s="18">
        <v>0.94930555555555551</v>
      </c>
      <c r="P163" s="80">
        <v>46171</v>
      </c>
      <c r="Q163" s="18">
        <v>0.38194444444444442</v>
      </c>
      <c r="R163" s="80">
        <v>46171</v>
      </c>
      <c r="S163" s="18">
        <v>0.42777777777777776</v>
      </c>
      <c r="T163" s="12"/>
      <c r="U163" s="12">
        <v>1</v>
      </c>
      <c r="V163" s="12">
        <v>1</v>
      </c>
      <c r="W163" s="12">
        <v>0</v>
      </c>
      <c r="X163" s="100" t="s">
        <v>507</v>
      </c>
      <c r="Y163" s="17" t="s">
        <v>508</v>
      </c>
    </row>
    <row r="164" spans="5:34" ht="15">
      <c r="E164" s="79" t="s">
        <v>36</v>
      </c>
      <c r="F164" s="12">
        <v>732</v>
      </c>
      <c r="G164" s="17" t="s">
        <v>509</v>
      </c>
      <c r="H164" s="12">
        <v>1780</v>
      </c>
      <c r="I164" s="12" t="s">
        <v>510</v>
      </c>
      <c r="J164" s="12" t="s">
        <v>21</v>
      </c>
      <c r="K164" s="12">
        <v>37</v>
      </c>
      <c r="L164" s="80">
        <v>46171</v>
      </c>
      <c r="M164" s="18">
        <v>0.95694444444444449</v>
      </c>
      <c r="N164" s="80">
        <v>46172</v>
      </c>
      <c r="O164" s="18">
        <v>3.888888888888889E-2</v>
      </c>
      <c r="P164" s="80">
        <v>46172</v>
      </c>
      <c r="Q164" s="18">
        <v>0.47847222222222224</v>
      </c>
      <c r="R164" s="80">
        <v>46172</v>
      </c>
      <c r="S164" s="18">
        <v>0.53125</v>
      </c>
      <c r="T164" s="12"/>
      <c r="U164" s="12">
        <v>0</v>
      </c>
      <c r="V164" s="12">
        <v>0</v>
      </c>
      <c r="W164" s="12">
        <v>0</v>
      </c>
      <c r="X164" s="84" t="s">
        <v>372</v>
      </c>
      <c r="Y164" s="17" t="s">
        <v>511</v>
      </c>
    </row>
    <row r="165" spans="5:34" ht="15">
      <c r="E165" s="79" t="s">
        <v>36</v>
      </c>
      <c r="F165" s="12">
        <v>733</v>
      </c>
      <c r="G165" s="17" t="s">
        <v>513</v>
      </c>
      <c r="H165" s="12" t="s">
        <v>514</v>
      </c>
      <c r="I165" s="12" t="s">
        <v>318</v>
      </c>
      <c r="J165" s="12" t="s">
        <v>21</v>
      </c>
      <c r="K165" s="12">
        <v>37</v>
      </c>
      <c r="L165" s="80">
        <v>46172</v>
      </c>
      <c r="M165" s="18">
        <v>0.5805555555555556</v>
      </c>
      <c r="N165" s="80">
        <v>46172</v>
      </c>
      <c r="O165" s="18">
        <v>0.68819444444444444</v>
      </c>
      <c r="P165" s="80">
        <v>46173</v>
      </c>
      <c r="Q165" s="18">
        <v>0.15902777777777777</v>
      </c>
      <c r="R165" s="80">
        <v>46173</v>
      </c>
      <c r="S165" s="18">
        <v>0.1736111111111111</v>
      </c>
      <c r="T165" s="12"/>
      <c r="U165" s="12">
        <v>0</v>
      </c>
      <c r="V165" s="12">
        <v>0</v>
      </c>
      <c r="W165" s="12">
        <v>0</v>
      </c>
      <c r="X165" s="135" t="s">
        <v>372</v>
      </c>
      <c r="Y165" s="17" t="s">
        <v>515</v>
      </c>
    </row>
    <row r="166" spans="5:34" ht="15.75" thickBot="1">
      <c r="E166" s="75" t="s">
        <v>36</v>
      </c>
      <c r="F166" s="77">
        <v>734</v>
      </c>
      <c r="G166" s="76" t="s">
        <v>516</v>
      </c>
      <c r="H166" s="77">
        <v>2428</v>
      </c>
      <c r="I166" s="77" t="s">
        <v>318</v>
      </c>
      <c r="J166" s="77" t="s">
        <v>345</v>
      </c>
      <c r="K166" s="77">
        <v>39</v>
      </c>
      <c r="L166" s="45">
        <v>46173</v>
      </c>
      <c r="M166" s="46">
        <v>0.37361111111111112</v>
      </c>
      <c r="N166" s="45">
        <v>46173</v>
      </c>
      <c r="O166" s="46">
        <v>0.53819444444444442</v>
      </c>
      <c r="P166" s="45">
        <v>46174</v>
      </c>
      <c r="Q166" s="46">
        <v>0.12777777777777777</v>
      </c>
      <c r="R166" s="45">
        <v>46174</v>
      </c>
      <c r="S166" s="46">
        <v>0.16597222222222222</v>
      </c>
      <c r="T166" s="77"/>
      <c r="U166" s="77">
        <v>0</v>
      </c>
      <c r="V166" s="77">
        <v>0</v>
      </c>
      <c r="W166" s="77">
        <v>0</v>
      </c>
      <c r="X166" s="137" t="s">
        <v>372</v>
      </c>
      <c r="Y166" s="76"/>
    </row>
    <row r="167" spans="5:34" ht="28.5">
      <c r="E167" s="79" t="s">
        <v>37</v>
      </c>
      <c r="F167" s="19">
        <v>735</v>
      </c>
      <c r="G167" s="72" t="s">
        <v>517</v>
      </c>
      <c r="H167" s="19">
        <v>1284</v>
      </c>
      <c r="I167" s="19" t="s">
        <v>518</v>
      </c>
      <c r="J167" s="19" t="s">
        <v>519</v>
      </c>
      <c r="K167" s="19" t="s">
        <v>520</v>
      </c>
      <c r="L167" s="80">
        <v>46174</v>
      </c>
      <c r="M167" s="74">
        <v>0.27777777777777779</v>
      </c>
      <c r="N167" s="80">
        <v>46174</v>
      </c>
      <c r="O167" s="74">
        <v>0.43333333333333335</v>
      </c>
      <c r="P167" s="80">
        <v>46174</v>
      </c>
      <c r="Q167" s="74">
        <v>0.85624999999999996</v>
      </c>
      <c r="R167" s="80">
        <v>46174</v>
      </c>
      <c r="S167" s="74">
        <v>0.87986111111111109</v>
      </c>
      <c r="T167" s="19"/>
      <c r="U167" s="19">
        <v>0</v>
      </c>
      <c r="V167" s="19">
        <v>0</v>
      </c>
      <c r="W167" s="19">
        <v>0</v>
      </c>
      <c r="X167" s="136" t="s">
        <v>372</v>
      </c>
      <c r="Y167" s="72" t="s">
        <v>523</v>
      </c>
    </row>
    <row r="168" spans="5:34" ht="15">
      <c r="E168" s="79" t="s">
        <v>37</v>
      </c>
      <c r="F168" s="12">
        <v>736</v>
      </c>
      <c r="G168" s="17" t="s">
        <v>521</v>
      </c>
      <c r="H168" s="12">
        <f>363+480+1363</f>
        <v>2206</v>
      </c>
      <c r="I168" s="12"/>
      <c r="J168" s="12" t="s">
        <v>21</v>
      </c>
      <c r="K168" s="12">
        <v>37</v>
      </c>
      <c r="L168" s="80">
        <v>46175</v>
      </c>
      <c r="M168" s="18">
        <v>2.7083333333333334E-2</v>
      </c>
      <c r="N168" s="80">
        <v>46175</v>
      </c>
      <c r="O168" s="18">
        <v>0.13680555555555557</v>
      </c>
      <c r="P168" s="80">
        <v>46175</v>
      </c>
      <c r="Q168" s="18">
        <v>0.67500000000000004</v>
      </c>
      <c r="R168" s="80">
        <v>46175</v>
      </c>
      <c r="S168" s="18">
        <v>0.70833333333333337</v>
      </c>
      <c r="T168" s="12"/>
      <c r="U168" s="12">
        <v>0</v>
      </c>
      <c r="V168" s="12">
        <v>0</v>
      </c>
      <c r="W168" s="12">
        <v>0</v>
      </c>
      <c r="X168" s="135" t="s">
        <v>372</v>
      </c>
      <c r="Y168" s="17" t="s">
        <v>524</v>
      </c>
    </row>
    <row r="169" spans="5:34" ht="15">
      <c r="E169" s="79" t="s">
        <v>37</v>
      </c>
      <c r="F169" s="12">
        <v>737</v>
      </c>
      <c r="G169" s="17" t="s">
        <v>522</v>
      </c>
      <c r="H169" s="12">
        <f>820+445</f>
        <v>1265</v>
      </c>
      <c r="I169" s="12" t="s">
        <v>308</v>
      </c>
      <c r="J169" s="12" t="s">
        <v>345</v>
      </c>
      <c r="K169" s="12">
        <v>39</v>
      </c>
      <c r="L169" s="80">
        <v>46175</v>
      </c>
      <c r="M169" s="18">
        <v>0.8</v>
      </c>
      <c r="N169" s="80">
        <v>46175</v>
      </c>
      <c r="O169" s="18">
        <v>0.90347222222222223</v>
      </c>
      <c r="P169" s="80">
        <v>46176</v>
      </c>
      <c r="Q169" s="18">
        <v>0.22361111111111112</v>
      </c>
      <c r="R169" s="80">
        <v>46176</v>
      </c>
      <c r="S169" s="18">
        <v>0.24097222222222223</v>
      </c>
      <c r="T169" s="12"/>
      <c r="U169" s="12">
        <v>0</v>
      </c>
      <c r="V169" s="12">
        <v>0</v>
      </c>
      <c r="W169" s="12">
        <v>0</v>
      </c>
      <c r="X169" s="135" t="s">
        <v>372</v>
      </c>
      <c r="Y169" s="17" t="s">
        <v>525</v>
      </c>
    </row>
    <row r="170" spans="5:34" ht="15">
      <c r="E170" s="125" t="s">
        <v>37</v>
      </c>
      <c r="F170" s="49">
        <v>738</v>
      </c>
      <c r="G170" s="55" t="s">
        <v>527</v>
      </c>
      <c r="H170" s="49">
        <v>486</v>
      </c>
      <c r="I170" s="49" t="s">
        <v>283</v>
      </c>
      <c r="J170" s="49" t="s">
        <v>21</v>
      </c>
      <c r="K170" s="49">
        <v>36</v>
      </c>
      <c r="L170" s="126">
        <v>46176</v>
      </c>
      <c r="M170" s="96">
        <v>0.81180555555555556</v>
      </c>
      <c r="N170" s="126">
        <v>46176</v>
      </c>
      <c r="O170" s="96">
        <v>0.89236111111111116</v>
      </c>
      <c r="P170" s="126">
        <v>46177</v>
      </c>
      <c r="Q170" s="96">
        <v>0.24305555555555555</v>
      </c>
      <c r="R170" s="126">
        <v>46177</v>
      </c>
      <c r="S170" s="96">
        <v>0.25972222222222224</v>
      </c>
      <c r="T170" s="49"/>
      <c r="U170" s="49">
        <v>0</v>
      </c>
      <c r="V170" s="49">
        <v>0</v>
      </c>
      <c r="W170" s="49">
        <v>0</v>
      </c>
      <c r="X170" s="84" t="s">
        <v>526</v>
      </c>
      <c r="Y170" s="55" t="s">
        <v>528</v>
      </c>
    </row>
    <row r="171" spans="5:34" ht="30">
      <c r="E171" s="79" t="s">
        <v>37</v>
      </c>
      <c r="F171" s="12">
        <v>739</v>
      </c>
      <c r="G171" s="17" t="s">
        <v>529</v>
      </c>
      <c r="H171" s="12">
        <v>1881</v>
      </c>
      <c r="I171" s="12" t="s">
        <v>331</v>
      </c>
      <c r="J171" s="12" t="s">
        <v>21</v>
      </c>
      <c r="K171" s="12">
        <v>35</v>
      </c>
      <c r="L171" s="133">
        <v>46177</v>
      </c>
      <c r="M171" s="18">
        <v>0.31736111111111109</v>
      </c>
      <c r="N171" s="133">
        <v>46177</v>
      </c>
      <c r="O171" s="18">
        <v>0.4597222222222222</v>
      </c>
      <c r="P171" s="133">
        <v>46177</v>
      </c>
      <c r="Q171" s="18">
        <v>0.94374999999999998</v>
      </c>
      <c r="R171" s="133">
        <v>46178</v>
      </c>
      <c r="S171" s="18">
        <v>1.2500000000000001E-2</v>
      </c>
      <c r="T171" s="12"/>
      <c r="U171" s="12">
        <v>0</v>
      </c>
      <c r="V171" s="12">
        <v>0</v>
      </c>
      <c r="W171" s="12">
        <v>0</v>
      </c>
      <c r="X171" s="84" t="s">
        <v>526</v>
      </c>
      <c r="Y171" s="98" t="s">
        <v>531</v>
      </c>
    </row>
    <row r="172" spans="5:34" ht="40.5" customHeight="1">
      <c r="E172" s="125" t="s">
        <v>37</v>
      </c>
      <c r="F172" s="49">
        <v>740</v>
      </c>
      <c r="G172" s="55" t="s">
        <v>530</v>
      </c>
      <c r="H172" s="49">
        <v>325</v>
      </c>
      <c r="I172" s="49" t="s">
        <v>318</v>
      </c>
      <c r="J172" s="49" t="s">
        <v>21</v>
      </c>
      <c r="K172" s="49">
        <v>36</v>
      </c>
      <c r="L172" s="126">
        <v>46178</v>
      </c>
      <c r="M172" s="96">
        <v>0.9819444444444444</v>
      </c>
      <c r="N172" s="126">
        <v>46179</v>
      </c>
      <c r="O172" s="96">
        <v>7.9861111111111105E-2</v>
      </c>
      <c r="P172" s="126">
        <v>46179</v>
      </c>
      <c r="Q172" s="96">
        <v>0.33680555555555558</v>
      </c>
      <c r="R172" s="126">
        <v>46179</v>
      </c>
      <c r="S172" s="96">
        <v>0.34375</v>
      </c>
      <c r="T172" s="49"/>
      <c r="U172" s="49">
        <v>0</v>
      </c>
      <c r="V172" s="49">
        <v>0</v>
      </c>
      <c r="W172" s="49">
        <v>0</v>
      </c>
      <c r="X172" s="84" t="s">
        <v>372</v>
      </c>
      <c r="Y172" s="55" t="s">
        <v>532</v>
      </c>
    </row>
    <row r="173" spans="5:34" ht="15">
      <c r="E173" s="60" t="s">
        <v>37</v>
      </c>
      <c r="F173" s="12">
        <v>741</v>
      </c>
      <c r="G173" s="17" t="s">
        <v>533</v>
      </c>
      <c r="H173" s="12">
        <v>2142</v>
      </c>
      <c r="I173" s="12" t="s">
        <v>318</v>
      </c>
      <c r="J173" s="12" t="s">
        <v>466</v>
      </c>
      <c r="K173" s="12" t="s">
        <v>497</v>
      </c>
      <c r="L173" s="142">
        <v>46179</v>
      </c>
      <c r="M173" s="18">
        <v>0.83680555555555558</v>
      </c>
      <c r="N173" s="142">
        <v>46179</v>
      </c>
      <c r="O173" s="18">
        <v>0.95833333333333337</v>
      </c>
      <c r="P173" s="142">
        <v>46180</v>
      </c>
      <c r="Q173" s="18">
        <v>0.45416666666666666</v>
      </c>
      <c r="R173" s="142">
        <v>46180</v>
      </c>
      <c r="S173" s="18">
        <v>0.50347222222222221</v>
      </c>
      <c r="T173" s="12"/>
      <c r="U173" s="12">
        <v>0</v>
      </c>
      <c r="V173" s="12">
        <v>0</v>
      </c>
      <c r="W173" s="12">
        <v>1</v>
      </c>
      <c r="X173" s="135" t="s">
        <v>372</v>
      </c>
      <c r="Y173" s="17" t="s">
        <v>534</v>
      </c>
      <c r="Z173" s="204" t="s">
        <v>543</v>
      </c>
      <c r="AA173" s="205"/>
      <c r="AB173" s="205"/>
      <c r="AC173" s="205"/>
      <c r="AD173" s="205"/>
      <c r="AE173" s="205"/>
      <c r="AF173" s="205"/>
      <c r="AG173" s="205"/>
    </row>
    <row r="174" spans="5:34" ht="15.75" thickBot="1">
      <c r="E174" s="75" t="s">
        <v>37</v>
      </c>
      <c r="F174" s="77">
        <v>742</v>
      </c>
      <c r="G174" s="76" t="s">
        <v>535</v>
      </c>
      <c r="H174" s="77">
        <v>2265</v>
      </c>
      <c r="I174" s="77" t="s">
        <v>308</v>
      </c>
      <c r="J174" s="77" t="s">
        <v>21</v>
      </c>
      <c r="K174" s="77">
        <v>36</v>
      </c>
      <c r="L174" s="147">
        <v>46180</v>
      </c>
      <c r="M174" s="46">
        <v>0.63472222222222219</v>
      </c>
      <c r="N174" s="147">
        <v>46180</v>
      </c>
      <c r="O174" s="46">
        <v>0.71388888888888891</v>
      </c>
      <c r="P174" s="147">
        <v>46181</v>
      </c>
      <c r="Q174" s="46">
        <v>0.26597222222222222</v>
      </c>
      <c r="R174" s="147">
        <v>46181</v>
      </c>
      <c r="S174" s="46">
        <v>0.30972222222222223</v>
      </c>
      <c r="T174" s="77"/>
      <c r="U174" s="77">
        <v>0</v>
      </c>
      <c r="V174" s="77">
        <v>2</v>
      </c>
      <c r="W174" s="77">
        <v>0</v>
      </c>
      <c r="X174" s="137" t="s">
        <v>372</v>
      </c>
      <c r="Y174" s="76" t="s">
        <v>536</v>
      </c>
      <c r="Z174" s="204" t="s">
        <v>542</v>
      </c>
      <c r="AA174" s="205"/>
      <c r="AB174" s="205"/>
      <c r="AC174" s="205"/>
      <c r="AD174" s="205"/>
      <c r="AE174" s="205"/>
      <c r="AF174" s="205"/>
      <c r="AG174" s="205"/>
      <c r="AH174" s="166"/>
    </row>
    <row r="175" spans="5:34" ht="24.75" customHeight="1">
      <c r="E175" s="125" t="s">
        <v>38</v>
      </c>
      <c r="F175" s="52">
        <v>743</v>
      </c>
      <c r="G175" s="143" t="s">
        <v>537</v>
      </c>
      <c r="H175" s="52">
        <v>350</v>
      </c>
      <c r="I175" s="52" t="s">
        <v>308</v>
      </c>
      <c r="J175" s="52" t="s">
        <v>21</v>
      </c>
      <c r="K175" s="52">
        <v>36</v>
      </c>
      <c r="L175" s="126">
        <v>46181</v>
      </c>
      <c r="M175" s="144">
        <v>0.88055555555555554</v>
      </c>
      <c r="N175" s="126">
        <v>46181</v>
      </c>
      <c r="O175" s="144">
        <v>0.96111111111111114</v>
      </c>
      <c r="P175" s="126">
        <v>46182</v>
      </c>
      <c r="Q175" s="144">
        <v>0.23333333333333334</v>
      </c>
      <c r="R175" s="126">
        <v>46182</v>
      </c>
      <c r="S175" s="144">
        <v>0.25</v>
      </c>
      <c r="T175" s="52"/>
      <c r="U175" s="52">
        <v>0</v>
      </c>
      <c r="V175" s="52">
        <v>0</v>
      </c>
      <c r="W175" s="52">
        <v>0</v>
      </c>
      <c r="X175" s="145" t="s">
        <v>372</v>
      </c>
      <c r="Y175" s="143" t="s">
        <v>538</v>
      </c>
    </row>
    <row r="176" spans="5:34" ht="28.5">
      <c r="E176" s="79" t="s">
        <v>38</v>
      </c>
      <c r="F176" s="12">
        <v>744</v>
      </c>
      <c r="G176" s="17" t="s">
        <v>539</v>
      </c>
      <c r="H176" s="12">
        <v>2392</v>
      </c>
      <c r="I176" s="12" t="s">
        <v>518</v>
      </c>
      <c r="J176" s="12" t="s">
        <v>345</v>
      </c>
      <c r="K176" s="12">
        <v>39</v>
      </c>
      <c r="L176" s="21">
        <v>46182</v>
      </c>
      <c r="M176" s="18">
        <v>0.34652777777777777</v>
      </c>
      <c r="N176" s="21">
        <v>46182</v>
      </c>
      <c r="O176" s="18">
        <v>0.62708333333333333</v>
      </c>
      <c r="P176" s="21">
        <v>46183</v>
      </c>
      <c r="Q176" s="18">
        <v>0.20833333333333334</v>
      </c>
      <c r="R176" s="21">
        <v>46183</v>
      </c>
      <c r="S176" s="18">
        <v>0.25833333333333336</v>
      </c>
      <c r="T176" s="12"/>
      <c r="U176" s="12">
        <v>0</v>
      </c>
      <c r="V176" s="12">
        <v>0</v>
      </c>
      <c r="W176" s="12">
        <v>1</v>
      </c>
      <c r="X176" s="135" t="s">
        <v>372</v>
      </c>
      <c r="Y176" s="17" t="s">
        <v>540</v>
      </c>
    </row>
    <row r="177" spans="5:25" ht="15">
      <c r="E177" s="79" t="s">
        <v>38</v>
      </c>
      <c r="F177" s="12">
        <v>745</v>
      </c>
      <c r="G177" s="17" t="s">
        <v>541</v>
      </c>
      <c r="H177" s="12">
        <v>1637</v>
      </c>
      <c r="I177" s="12" t="s">
        <v>308</v>
      </c>
      <c r="J177" s="12" t="s">
        <v>21</v>
      </c>
      <c r="K177" s="12">
        <v>39</v>
      </c>
      <c r="L177" s="21">
        <v>46183</v>
      </c>
      <c r="M177" s="18">
        <v>0.88958333333333328</v>
      </c>
      <c r="N177" s="21">
        <v>46184</v>
      </c>
      <c r="O177" s="18">
        <v>0.1</v>
      </c>
      <c r="P177" s="21">
        <v>46184</v>
      </c>
      <c r="Q177" s="18">
        <v>0.50694444444444442</v>
      </c>
      <c r="R177" s="21">
        <v>46184</v>
      </c>
      <c r="S177" s="18">
        <v>0.54722222222222228</v>
      </c>
      <c r="T177" s="12"/>
      <c r="U177" s="12">
        <v>0</v>
      </c>
      <c r="V177" s="12">
        <v>0</v>
      </c>
      <c r="W177" s="12">
        <v>0</v>
      </c>
      <c r="X177" s="135" t="s">
        <v>372</v>
      </c>
      <c r="Y177" s="17" t="s">
        <v>546</v>
      </c>
    </row>
    <row r="178" spans="5:25" ht="15">
      <c r="E178" s="79" t="s">
        <v>38</v>
      </c>
      <c r="F178" s="12">
        <v>746</v>
      </c>
      <c r="G178" s="17" t="s">
        <v>544</v>
      </c>
      <c r="H178" s="12">
        <v>2323</v>
      </c>
      <c r="I178" s="12" t="s">
        <v>331</v>
      </c>
      <c r="J178" s="12" t="s">
        <v>21</v>
      </c>
      <c r="K178" s="12">
        <v>37</v>
      </c>
      <c r="L178" s="21">
        <v>46184</v>
      </c>
      <c r="M178" s="18">
        <v>0.72499999999999998</v>
      </c>
      <c r="N178" s="21">
        <v>46184</v>
      </c>
      <c r="O178" s="18">
        <v>0.84305555555555556</v>
      </c>
      <c r="P178" s="21">
        <v>46185</v>
      </c>
      <c r="Q178" s="18">
        <v>0.40902777777777777</v>
      </c>
      <c r="R178" s="21">
        <v>46185</v>
      </c>
      <c r="S178" s="18">
        <v>0.4513888888888889</v>
      </c>
      <c r="T178" s="12"/>
      <c r="U178" s="12">
        <v>0</v>
      </c>
      <c r="V178" s="12">
        <v>0</v>
      </c>
      <c r="W178" s="12">
        <v>0</v>
      </c>
      <c r="X178" s="135" t="s">
        <v>372</v>
      </c>
      <c r="Y178" s="17" t="s">
        <v>545</v>
      </c>
    </row>
    <row r="179" spans="5:25" ht="15">
      <c r="E179" s="79" t="s">
        <v>38</v>
      </c>
      <c r="F179" s="12">
        <v>747</v>
      </c>
      <c r="G179" s="17" t="s">
        <v>549</v>
      </c>
      <c r="H179" s="12">
        <v>324</v>
      </c>
      <c r="I179" s="12" t="s">
        <v>283</v>
      </c>
      <c r="J179" s="12" t="s">
        <v>21</v>
      </c>
      <c r="K179" s="12">
        <v>37</v>
      </c>
      <c r="L179" s="21">
        <v>46186</v>
      </c>
      <c r="M179" s="18">
        <v>3.6111111111111108E-2</v>
      </c>
      <c r="N179" s="21">
        <v>46186</v>
      </c>
      <c r="O179" s="18">
        <v>0.11388888888888889</v>
      </c>
      <c r="P179" s="21">
        <v>46186</v>
      </c>
      <c r="Q179" s="18">
        <v>0.37152777777777779</v>
      </c>
      <c r="R179" s="21">
        <v>46186</v>
      </c>
      <c r="S179" s="18">
        <v>0.39513888888888887</v>
      </c>
      <c r="T179" s="12"/>
      <c r="U179" s="12">
        <v>0</v>
      </c>
      <c r="V179" s="12">
        <v>0</v>
      </c>
      <c r="W179" s="12">
        <v>0</v>
      </c>
      <c r="X179" s="12" t="s">
        <v>108</v>
      </c>
      <c r="Y179" s="17" t="s">
        <v>548</v>
      </c>
    </row>
    <row r="180" spans="5:25" ht="15">
      <c r="E180" s="60" t="s">
        <v>38</v>
      </c>
      <c r="F180" s="12">
        <v>748</v>
      </c>
      <c r="G180" s="17" t="s">
        <v>547</v>
      </c>
      <c r="H180" s="12">
        <v>2318</v>
      </c>
      <c r="I180" s="12" t="s">
        <v>464</v>
      </c>
      <c r="J180" s="12" t="s">
        <v>21</v>
      </c>
      <c r="K180" s="12">
        <v>37</v>
      </c>
      <c r="L180" s="21">
        <v>46186</v>
      </c>
      <c r="M180" s="18">
        <v>0.73541666666666672</v>
      </c>
      <c r="N180" s="21">
        <v>46186</v>
      </c>
      <c r="O180" s="18">
        <v>0.99444444444444446</v>
      </c>
      <c r="P180" s="21">
        <v>46187</v>
      </c>
      <c r="Q180" s="18">
        <v>0.55833333333333335</v>
      </c>
      <c r="R180" s="21">
        <v>46187</v>
      </c>
      <c r="S180" s="18">
        <v>0.59375</v>
      </c>
      <c r="T180" s="12"/>
      <c r="U180" s="12">
        <v>0</v>
      </c>
      <c r="V180" s="12">
        <v>0</v>
      </c>
      <c r="W180" s="12">
        <v>0</v>
      </c>
      <c r="X180" s="12" t="s">
        <v>507</v>
      </c>
      <c r="Y180" s="17" t="s">
        <v>550</v>
      </c>
    </row>
    <row r="181" spans="5:25" ht="15.75" thickBot="1">
      <c r="E181" s="75" t="s">
        <v>38</v>
      </c>
      <c r="F181" s="77">
        <v>749</v>
      </c>
      <c r="G181" s="76" t="s">
        <v>551</v>
      </c>
      <c r="H181" s="77">
        <v>1883</v>
      </c>
      <c r="I181" s="77" t="s">
        <v>285</v>
      </c>
      <c r="J181" s="77" t="s">
        <v>21</v>
      </c>
      <c r="K181" s="77">
        <v>36</v>
      </c>
      <c r="L181" s="45">
        <v>46187</v>
      </c>
      <c r="M181" s="46">
        <v>0.70347222222222228</v>
      </c>
      <c r="N181" s="45">
        <v>46187</v>
      </c>
      <c r="O181" s="46">
        <v>0.80902777777777779</v>
      </c>
      <c r="P181" s="45">
        <v>46188</v>
      </c>
      <c r="Q181" s="46">
        <v>0.20069444444444445</v>
      </c>
      <c r="R181" s="45">
        <v>46188</v>
      </c>
      <c r="S181" s="46">
        <v>0.23680555555555555</v>
      </c>
      <c r="T181" s="77"/>
      <c r="U181" s="77">
        <v>0</v>
      </c>
      <c r="V181" s="77">
        <v>1</v>
      </c>
      <c r="W181" s="77">
        <v>0</v>
      </c>
      <c r="X181" s="77" t="s">
        <v>507</v>
      </c>
      <c r="Y181" s="76" t="s">
        <v>554</v>
      </c>
    </row>
    <row r="182" spans="5:25" ht="15">
      <c r="E182" s="79" t="s">
        <v>39</v>
      </c>
      <c r="F182" s="19">
        <v>750</v>
      </c>
      <c r="G182" s="72" t="s">
        <v>553</v>
      </c>
      <c r="H182" s="19">
        <v>2150</v>
      </c>
      <c r="I182" s="19" t="s">
        <v>308</v>
      </c>
      <c r="J182" s="19" t="s">
        <v>21</v>
      </c>
      <c r="K182" s="19">
        <v>35</v>
      </c>
      <c r="L182" s="80">
        <v>46188</v>
      </c>
      <c r="M182" s="74">
        <v>0.28125</v>
      </c>
      <c r="N182" s="80">
        <v>46188</v>
      </c>
      <c r="O182" s="74">
        <v>0.38541666666666669</v>
      </c>
      <c r="P182" s="80">
        <v>46188</v>
      </c>
      <c r="Q182" s="74">
        <v>0.90972222222222221</v>
      </c>
      <c r="R182" s="80">
        <v>46188</v>
      </c>
      <c r="S182" s="74">
        <v>0.94166666666666665</v>
      </c>
      <c r="T182" s="19"/>
      <c r="U182" s="19">
        <v>0</v>
      </c>
      <c r="V182" s="19">
        <v>2</v>
      </c>
      <c r="W182" s="19">
        <v>0</v>
      </c>
      <c r="X182" s="19" t="s">
        <v>507</v>
      </c>
      <c r="Y182" s="161"/>
    </row>
    <row r="183" spans="5:25" ht="15">
      <c r="E183" s="79" t="s">
        <v>39</v>
      </c>
      <c r="F183" s="12">
        <v>751</v>
      </c>
      <c r="G183" s="17" t="s">
        <v>560</v>
      </c>
      <c r="H183" s="12">
        <v>818</v>
      </c>
      <c r="I183" s="12"/>
      <c r="J183" s="12" t="s">
        <v>345</v>
      </c>
      <c r="K183" s="12"/>
      <c r="L183" s="21">
        <v>46189</v>
      </c>
      <c r="M183" s="18">
        <v>0.15555555555555556</v>
      </c>
      <c r="N183" s="21">
        <v>46189</v>
      </c>
      <c r="O183" s="18">
        <v>0.23541666666666666</v>
      </c>
      <c r="P183" s="21">
        <v>46189</v>
      </c>
      <c r="Q183" s="18">
        <v>0.26944444444444443</v>
      </c>
      <c r="R183" s="21">
        <v>46189</v>
      </c>
      <c r="S183" s="18">
        <v>0.2902777777777778</v>
      </c>
      <c r="T183" s="12"/>
      <c r="U183" s="12">
        <v>0</v>
      </c>
      <c r="V183" s="12">
        <v>0</v>
      </c>
      <c r="W183" s="12">
        <v>0</v>
      </c>
      <c r="X183" s="12" t="s">
        <v>507</v>
      </c>
      <c r="Y183" s="161" t="s">
        <v>561</v>
      </c>
    </row>
    <row r="184" spans="5:25" ht="15">
      <c r="E184" s="79" t="s">
        <v>39</v>
      </c>
      <c r="F184" s="12">
        <v>752</v>
      </c>
      <c r="G184" s="17" t="s">
        <v>556</v>
      </c>
      <c r="H184" s="12">
        <v>600</v>
      </c>
      <c r="I184" s="12" t="s">
        <v>308</v>
      </c>
      <c r="J184" s="12" t="s">
        <v>21</v>
      </c>
      <c r="K184" s="12">
        <v>36</v>
      </c>
      <c r="L184" s="21">
        <v>46189</v>
      </c>
      <c r="M184" s="18">
        <v>0.60763888888888884</v>
      </c>
      <c r="N184" s="21">
        <v>46189</v>
      </c>
      <c r="O184" s="18">
        <v>0.71875</v>
      </c>
      <c r="P184" s="21">
        <v>46189</v>
      </c>
      <c r="Q184" s="18">
        <v>0.87569444444444444</v>
      </c>
      <c r="R184" s="21">
        <v>46189</v>
      </c>
      <c r="S184" s="18">
        <v>0.91041666666666665</v>
      </c>
      <c r="T184" s="12"/>
      <c r="U184" s="12">
        <v>0</v>
      </c>
      <c r="V184" s="12">
        <v>0</v>
      </c>
      <c r="W184" s="12">
        <v>0</v>
      </c>
      <c r="X184" s="12" t="s">
        <v>526</v>
      </c>
      <c r="Y184" s="161" t="s">
        <v>557</v>
      </c>
    </row>
    <row r="185" spans="5:25" ht="15">
      <c r="E185" s="79" t="s">
        <v>39</v>
      </c>
      <c r="F185" s="12">
        <v>753</v>
      </c>
      <c r="G185" s="17" t="s">
        <v>558</v>
      </c>
      <c r="H185" s="12">
        <v>2345</v>
      </c>
      <c r="I185" s="12" t="s">
        <v>331</v>
      </c>
      <c r="J185" s="12" t="s">
        <v>21</v>
      </c>
      <c r="K185" s="12">
        <v>36</v>
      </c>
      <c r="L185" s="21">
        <v>46190</v>
      </c>
      <c r="M185" s="18">
        <v>0.37847222222222221</v>
      </c>
      <c r="N185" s="21">
        <v>46190</v>
      </c>
      <c r="O185" s="18">
        <v>0.50555555555555554</v>
      </c>
      <c r="P185" s="21">
        <v>46191</v>
      </c>
      <c r="Q185" s="18">
        <v>4.9305555555555554E-2</v>
      </c>
      <c r="R185" s="21">
        <v>46191</v>
      </c>
      <c r="S185" s="18">
        <v>0.10277777777777777</v>
      </c>
      <c r="T185" s="12"/>
      <c r="U185" s="12">
        <v>0</v>
      </c>
      <c r="V185" s="12">
        <v>0</v>
      </c>
      <c r="W185" s="12">
        <v>0</v>
      </c>
      <c r="X185" s="12" t="s">
        <v>507</v>
      </c>
      <c r="Y185" s="17" t="s">
        <v>559</v>
      </c>
    </row>
    <row r="186" spans="5:25" ht="15">
      <c r="E186" s="79" t="s">
        <v>39</v>
      </c>
      <c r="F186" s="12">
        <v>754</v>
      </c>
      <c r="G186" s="17" t="s">
        <v>562</v>
      </c>
      <c r="H186" s="12">
        <v>2320</v>
      </c>
      <c r="I186" s="12" t="s">
        <v>563</v>
      </c>
      <c r="J186" s="12" t="s">
        <v>21</v>
      </c>
      <c r="K186" s="12">
        <v>36</v>
      </c>
      <c r="L186" s="21">
        <v>46191</v>
      </c>
      <c r="M186" s="18">
        <v>0.15416666666666667</v>
      </c>
      <c r="N186" s="21">
        <v>46191</v>
      </c>
      <c r="O186" s="18">
        <v>0.27083333333333331</v>
      </c>
      <c r="P186" s="21">
        <v>46191</v>
      </c>
      <c r="Q186" s="18">
        <v>0.80763888888888891</v>
      </c>
      <c r="R186" s="21">
        <v>46191</v>
      </c>
      <c r="S186" s="18">
        <v>0.84166666666666667</v>
      </c>
      <c r="T186" s="12"/>
      <c r="U186" s="12">
        <v>0</v>
      </c>
      <c r="V186" s="12">
        <v>1</v>
      </c>
      <c r="W186" s="12">
        <v>0</v>
      </c>
      <c r="X186" s="12" t="s">
        <v>507</v>
      </c>
      <c r="Y186" s="17" t="s">
        <v>564</v>
      </c>
    </row>
    <row r="187" spans="5:25" ht="49.5" customHeight="1">
      <c r="E187" s="79" t="s">
        <v>39</v>
      </c>
      <c r="F187" s="12">
        <v>755</v>
      </c>
      <c r="G187" s="17" t="s">
        <v>565</v>
      </c>
      <c r="H187" s="12">
        <v>600</v>
      </c>
      <c r="I187" s="12" t="s">
        <v>308</v>
      </c>
      <c r="J187" s="12" t="s">
        <v>21</v>
      </c>
      <c r="K187" s="12">
        <v>37</v>
      </c>
      <c r="L187" s="21">
        <v>46192</v>
      </c>
      <c r="M187" s="18">
        <v>0.71180555555555558</v>
      </c>
      <c r="N187" s="21">
        <v>46192</v>
      </c>
      <c r="O187" s="18">
        <v>0.80625000000000002</v>
      </c>
      <c r="P187" s="21">
        <v>46192</v>
      </c>
      <c r="Q187" s="18">
        <v>0.87777777777777777</v>
      </c>
      <c r="R187" s="21">
        <v>46192</v>
      </c>
      <c r="S187" s="18">
        <v>0.89930555555555558</v>
      </c>
      <c r="T187" s="12"/>
      <c r="U187" s="12">
        <v>0</v>
      </c>
      <c r="V187" s="12">
        <v>0</v>
      </c>
      <c r="W187" s="12">
        <v>0</v>
      </c>
      <c r="X187" s="12" t="s">
        <v>526</v>
      </c>
      <c r="Y187" s="17" t="s">
        <v>566</v>
      </c>
    </row>
    <row r="188" spans="5:25" ht="39.75" customHeight="1">
      <c r="E188" s="79" t="s">
        <v>39</v>
      </c>
      <c r="F188" s="12">
        <v>756</v>
      </c>
      <c r="G188" s="17" t="s">
        <v>568</v>
      </c>
      <c r="H188" s="12">
        <v>300</v>
      </c>
      <c r="I188" s="12" t="s">
        <v>318</v>
      </c>
      <c r="J188" s="12" t="s">
        <v>21</v>
      </c>
      <c r="K188" s="12">
        <v>37</v>
      </c>
      <c r="L188" s="21">
        <v>46193</v>
      </c>
      <c r="M188" s="18">
        <v>2.0833333333333332E-2</v>
      </c>
      <c r="N188" s="21">
        <v>46193</v>
      </c>
      <c r="O188" s="18">
        <v>0.11736111111111111</v>
      </c>
      <c r="P188" s="21">
        <v>46193</v>
      </c>
      <c r="Q188" s="18">
        <v>0.14166666666666666</v>
      </c>
      <c r="R188" s="21">
        <v>46193</v>
      </c>
      <c r="S188" s="18">
        <v>0.16666666666666666</v>
      </c>
      <c r="T188" s="12"/>
      <c r="U188" s="12">
        <v>0</v>
      </c>
      <c r="V188" s="12">
        <v>0</v>
      </c>
      <c r="W188" s="12">
        <v>0</v>
      </c>
      <c r="X188" s="12" t="s">
        <v>526</v>
      </c>
      <c r="Y188" s="17" t="s">
        <v>567</v>
      </c>
    </row>
    <row r="189" spans="5:25" ht="15">
      <c r="E189" s="79" t="s">
        <v>39</v>
      </c>
      <c r="F189" s="12">
        <v>757</v>
      </c>
      <c r="G189" s="17" t="s">
        <v>570</v>
      </c>
      <c r="H189" s="17">
        <v>1648</v>
      </c>
      <c r="I189" s="12" t="s">
        <v>297</v>
      </c>
      <c r="J189" s="12" t="s">
        <v>571</v>
      </c>
      <c r="K189" s="12" t="s">
        <v>572</v>
      </c>
      <c r="L189" s="21">
        <v>46193</v>
      </c>
      <c r="M189" s="18">
        <v>0.64097222222222228</v>
      </c>
      <c r="N189" s="21">
        <v>46193</v>
      </c>
      <c r="O189" s="18">
        <v>0.74861111111111112</v>
      </c>
      <c r="P189" s="21">
        <v>46193</v>
      </c>
      <c r="Q189" s="18">
        <v>0.99583333333333335</v>
      </c>
      <c r="R189" s="21">
        <v>46194</v>
      </c>
      <c r="S189" s="18">
        <v>1.4583333333333334E-2</v>
      </c>
      <c r="T189" s="12"/>
      <c r="U189" s="12">
        <v>0</v>
      </c>
      <c r="V189" s="12">
        <v>1</v>
      </c>
      <c r="W189" s="12">
        <v>0</v>
      </c>
      <c r="X189" s="84" t="s">
        <v>569</v>
      </c>
      <c r="Y189" s="17" t="s">
        <v>574</v>
      </c>
    </row>
    <row r="190" spans="5:25" ht="15.75" thickBot="1">
      <c r="E190" s="75" t="s">
        <v>39</v>
      </c>
      <c r="F190" s="77">
        <v>758</v>
      </c>
      <c r="G190" s="76" t="s">
        <v>573</v>
      </c>
      <c r="H190" s="76">
        <v>2336</v>
      </c>
      <c r="I190" s="77" t="s">
        <v>308</v>
      </c>
      <c r="J190" s="77" t="s">
        <v>21</v>
      </c>
      <c r="K190" s="77">
        <v>37</v>
      </c>
      <c r="L190" s="45">
        <v>46194</v>
      </c>
      <c r="M190" s="46">
        <v>0.38541666666666669</v>
      </c>
      <c r="N190" s="45">
        <v>46194</v>
      </c>
      <c r="O190" s="46">
        <v>0.49583333333333335</v>
      </c>
      <c r="P190" s="45">
        <v>46195</v>
      </c>
      <c r="Q190" s="46">
        <v>6.458333333333334E-2</v>
      </c>
      <c r="R190" s="45">
        <v>46195</v>
      </c>
      <c r="S190" s="46">
        <v>0.10555555555555556</v>
      </c>
      <c r="T190" s="77"/>
      <c r="U190" s="77">
        <v>0</v>
      </c>
      <c r="V190" s="77">
        <v>1</v>
      </c>
      <c r="W190" s="77">
        <v>0</v>
      </c>
      <c r="X190" s="77" t="s">
        <v>569</v>
      </c>
      <c r="Y190" s="76"/>
    </row>
    <row r="191" spans="5:25" ht="28.5">
      <c r="E191" s="79" t="s">
        <v>40</v>
      </c>
      <c r="F191" s="19">
        <v>759</v>
      </c>
      <c r="G191" s="72" t="s">
        <v>575</v>
      </c>
      <c r="H191" s="72">
        <v>1617</v>
      </c>
      <c r="I191" s="19" t="s">
        <v>283</v>
      </c>
      <c r="J191" s="19" t="s">
        <v>576</v>
      </c>
      <c r="K191" s="19" t="s">
        <v>577</v>
      </c>
      <c r="L191" s="80">
        <v>46195</v>
      </c>
      <c r="M191" s="74">
        <v>0.18194444444444444</v>
      </c>
      <c r="N191" s="80">
        <v>46195</v>
      </c>
      <c r="O191" s="74">
        <v>0.30208333333333331</v>
      </c>
      <c r="P191" s="80">
        <v>46195</v>
      </c>
      <c r="Q191" s="74">
        <v>0.75208333333333333</v>
      </c>
      <c r="R191" s="80">
        <v>46195</v>
      </c>
      <c r="S191" s="74">
        <v>0.79097222222222219</v>
      </c>
      <c r="T191" s="19"/>
      <c r="U191" s="19">
        <v>0</v>
      </c>
      <c r="V191" s="19">
        <v>1</v>
      </c>
      <c r="W191" s="19">
        <v>0</v>
      </c>
      <c r="X191" s="19" t="s">
        <v>569</v>
      </c>
      <c r="Y191" s="72" t="s">
        <v>584</v>
      </c>
    </row>
    <row r="192" spans="5:25" ht="30">
      <c r="E192" s="60" t="s">
        <v>40</v>
      </c>
      <c r="F192" s="12">
        <v>760</v>
      </c>
      <c r="G192" s="172" t="s">
        <v>581</v>
      </c>
      <c r="H192" s="98" t="s">
        <v>214</v>
      </c>
      <c r="I192" s="17" t="s">
        <v>587</v>
      </c>
      <c r="J192" s="12" t="s">
        <v>21</v>
      </c>
      <c r="K192" s="12">
        <v>37</v>
      </c>
      <c r="L192" s="21">
        <v>46196</v>
      </c>
      <c r="M192" s="18">
        <v>0.60069444444444442</v>
      </c>
      <c r="N192" s="21">
        <v>46196</v>
      </c>
      <c r="O192" s="18">
        <v>0.69930555555555551</v>
      </c>
      <c r="P192" s="21">
        <v>46197</v>
      </c>
      <c r="Q192" s="18">
        <v>0.17499999999999999</v>
      </c>
      <c r="R192" s="21">
        <v>46197</v>
      </c>
      <c r="S192" s="18">
        <v>0.23194444444444445</v>
      </c>
      <c r="T192" s="12"/>
      <c r="U192" s="12">
        <v>0</v>
      </c>
      <c r="V192" s="12">
        <v>0</v>
      </c>
      <c r="W192" s="12">
        <v>0</v>
      </c>
      <c r="X192" s="12" t="s">
        <v>526</v>
      </c>
      <c r="Y192" s="17" t="s">
        <v>585</v>
      </c>
    </row>
    <row r="193" spans="5:25" ht="15">
      <c r="E193" s="60" t="s">
        <v>40</v>
      </c>
      <c r="F193" s="12">
        <v>761</v>
      </c>
      <c r="G193" s="20" t="s">
        <v>580</v>
      </c>
      <c r="H193" s="12"/>
      <c r="I193" s="12"/>
      <c r="J193" s="12" t="s">
        <v>21</v>
      </c>
      <c r="K193" s="12">
        <v>35</v>
      </c>
      <c r="L193" s="21">
        <v>46197</v>
      </c>
      <c r="M193" s="18">
        <v>0.69791666666666663</v>
      </c>
      <c r="N193" s="21">
        <v>46197</v>
      </c>
      <c r="O193" s="18">
        <v>0.80763888888888891</v>
      </c>
      <c r="P193" s="21">
        <v>46198</v>
      </c>
      <c r="Q193" s="18">
        <v>0.34305555555555556</v>
      </c>
      <c r="R193" s="21">
        <v>46198</v>
      </c>
      <c r="S193" s="18">
        <v>0.3888888888888889</v>
      </c>
      <c r="T193" s="12"/>
      <c r="U193" s="12">
        <v>0</v>
      </c>
      <c r="V193" s="12">
        <v>0</v>
      </c>
      <c r="W193" s="12">
        <v>0</v>
      </c>
      <c r="X193" s="12" t="s">
        <v>372</v>
      </c>
      <c r="Y193" s="17" t="s">
        <v>586</v>
      </c>
    </row>
    <row r="194" spans="5:25" ht="15">
      <c r="E194" s="60" t="s">
        <v>40</v>
      </c>
      <c r="F194" s="12">
        <v>762</v>
      </c>
      <c r="G194" s="20" t="s">
        <v>579</v>
      </c>
      <c r="H194" s="12">
        <v>1055</v>
      </c>
      <c r="I194" s="12" t="s">
        <v>583</v>
      </c>
      <c r="J194" s="12" t="s">
        <v>345</v>
      </c>
      <c r="K194" s="12">
        <v>100</v>
      </c>
      <c r="L194" s="21">
        <v>46198</v>
      </c>
      <c r="M194" s="18">
        <v>0.46319444444444446</v>
      </c>
      <c r="N194" s="21">
        <v>46198</v>
      </c>
      <c r="O194" s="18">
        <v>0.57430555555555551</v>
      </c>
      <c r="P194" s="21">
        <v>46198</v>
      </c>
      <c r="Q194" s="18">
        <v>0.86805555555555558</v>
      </c>
      <c r="R194" s="21">
        <v>46198</v>
      </c>
      <c r="S194" s="18">
        <v>0.87777777777777777</v>
      </c>
      <c r="T194" s="12"/>
      <c r="U194" s="12">
        <v>0</v>
      </c>
      <c r="V194" s="12">
        <v>0</v>
      </c>
      <c r="W194" s="12">
        <v>0</v>
      </c>
      <c r="X194" s="12" t="s">
        <v>372</v>
      </c>
      <c r="Y194" s="17"/>
    </row>
    <row r="195" spans="5:25" ht="15">
      <c r="E195" s="60" t="s">
        <v>40</v>
      </c>
      <c r="F195" s="12">
        <v>763</v>
      </c>
      <c r="G195" s="17" t="s">
        <v>582</v>
      </c>
      <c r="H195" s="12">
        <v>2095</v>
      </c>
      <c r="I195" s="12" t="s">
        <v>318</v>
      </c>
      <c r="J195" s="12" t="s">
        <v>21</v>
      </c>
      <c r="K195" s="12">
        <v>36</v>
      </c>
      <c r="L195" s="21">
        <v>46199</v>
      </c>
      <c r="M195" s="18">
        <v>6.5972222222222224E-2</v>
      </c>
      <c r="N195" s="21">
        <v>46199</v>
      </c>
      <c r="O195" s="18">
        <v>0.12847222222222221</v>
      </c>
      <c r="P195" s="21">
        <v>46199</v>
      </c>
      <c r="Q195" s="18">
        <v>0.61388888888888893</v>
      </c>
      <c r="R195" s="21">
        <v>46199</v>
      </c>
      <c r="S195" s="18">
        <v>0.65277777777777779</v>
      </c>
      <c r="T195" s="12"/>
      <c r="U195" s="12">
        <v>0</v>
      </c>
      <c r="V195" s="12">
        <v>0</v>
      </c>
      <c r="W195" s="12">
        <v>0</v>
      </c>
      <c r="X195" s="12" t="s">
        <v>372</v>
      </c>
      <c r="Y195" s="17" t="s">
        <v>588</v>
      </c>
    </row>
    <row r="196" spans="5:25" ht="15">
      <c r="E196" s="60" t="s">
        <v>40</v>
      </c>
      <c r="F196" s="12">
        <v>764</v>
      </c>
      <c r="G196" s="17" t="s">
        <v>589</v>
      </c>
      <c r="H196" s="12">
        <v>2328</v>
      </c>
      <c r="I196" s="12" t="s">
        <v>290</v>
      </c>
      <c r="J196" s="12" t="s">
        <v>21</v>
      </c>
      <c r="K196" s="12">
        <v>36</v>
      </c>
      <c r="L196" s="21">
        <v>46200</v>
      </c>
      <c r="M196" s="18">
        <v>7.8472222222222221E-2</v>
      </c>
      <c r="N196" s="21">
        <v>46200</v>
      </c>
      <c r="O196" s="18">
        <v>0.19791666666666666</v>
      </c>
      <c r="P196" s="21">
        <v>46200</v>
      </c>
      <c r="Q196" s="18">
        <v>0.76388888888888884</v>
      </c>
      <c r="R196" s="21">
        <v>46200</v>
      </c>
      <c r="S196" s="18">
        <v>0.79722222222222228</v>
      </c>
      <c r="T196" s="12"/>
      <c r="U196" s="12">
        <v>0</v>
      </c>
      <c r="V196" s="12">
        <v>0</v>
      </c>
      <c r="W196" s="12">
        <v>0</v>
      </c>
      <c r="X196" s="12" t="s">
        <v>372</v>
      </c>
      <c r="Y196" s="17" t="s">
        <v>590</v>
      </c>
    </row>
    <row r="197" spans="5:25" ht="15.75" thickBot="1">
      <c r="E197" s="75" t="s">
        <v>40</v>
      </c>
      <c r="F197" s="77">
        <v>765</v>
      </c>
      <c r="G197" s="76" t="s">
        <v>591</v>
      </c>
      <c r="H197" s="77">
        <v>2278</v>
      </c>
      <c r="I197" s="77" t="s">
        <v>308</v>
      </c>
      <c r="J197" s="77" t="s">
        <v>21</v>
      </c>
      <c r="K197" s="77">
        <v>36</v>
      </c>
      <c r="L197" s="45">
        <v>46200</v>
      </c>
      <c r="M197" s="46">
        <v>0.96180555555555558</v>
      </c>
      <c r="N197" s="45">
        <v>46201</v>
      </c>
      <c r="O197" s="46">
        <v>8.9583333333333334E-2</v>
      </c>
      <c r="P197" s="45">
        <v>46201</v>
      </c>
      <c r="Q197" s="46">
        <v>0.64444444444444449</v>
      </c>
      <c r="R197" s="45">
        <v>46201</v>
      </c>
      <c r="S197" s="46">
        <v>0.6791666666666667</v>
      </c>
      <c r="T197" s="77"/>
      <c r="U197" s="77">
        <v>0</v>
      </c>
      <c r="V197" s="77">
        <v>2</v>
      </c>
      <c r="W197" s="77">
        <v>1</v>
      </c>
      <c r="X197" s="77" t="s">
        <v>372</v>
      </c>
      <c r="Y197" s="76" t="s">
        <v>592</v>
      </c>
    </row>
    <row r="198" spans="5:25" ht="15">
      <c r="E198" s="79" t="s">
        <v>41</v>
      </c>
      <c r="F198" s="19">
        <v>766</v>
      </c>
      <c r="G198" s="72" t="s">
        <v>593</v>
      </c>
      <c r="H198" s="19">
        <v>2234</v>
      </c>
      <c r="I198" s="19" t="s">
        <v>290</v>
      </c>
      <c r="J198" s="19" t="s">
        <v>21</v>
      </c>
      <c r="K198" s="19">
        <v>36</v>
      </c>
      <c r="L198" s="80">
        <v>46202</v>
      </c>
      <c r="M198" s="74">
        <v>0.23402777777777781</v>
      </c>
      <c r="N198" s="80">
        <v>46202</v>
      </c>
      <c r="O198" s="74">
        <v>0.3611111111111111</v>
      </c>
      <c r="P198" s="80">
        <v>46202</v>
      </c>
      <c r="Q198" s="74">
        <v>0.90763888888888888</v>
      </c>
      <c r="R198" s="80">
        <v>46202</v>
      </c>
      <c r="S198" s="74">
        <v>0.94444444444444442</v>
      </c>
      <c r="T198" s="19"/>
      <c r="U198" s="19">
        <v>0</v>
      </c>
      <c r="V198" s="19">
        <v>8</v>
      </c>
      <c r="W198" s="19">
        <v>0</v>
      </c>
      <c r="X198" s="100" t="s">
        <v>595</v>
      </c>
      <c r="Y198" s="161" t="s">
        <v>597</v>
      </c>
    </row>
    <row r="199" spans="5:25" ht="15">
      <c r="E199" s="60" t="s">
        <v>41</v>
      </c>
      <c r="F199" s="12">
        <v>767</v>
      </c>
      <c r="G199" s="17" t="s">
        <v>598</v>
      </c>
      <c r="H199" s="12">
        <v>2174</v>
      </c>
      <c r="I199" s="12"/>
      <c r="J199" s="12" t="s">
        <v>21</v>
      </c>
      <c r="K199" s="12">
        <v>37</v>
      </c>
      <c r="L199" s="21">
        <v>46203</v>
      </c>
      <c r="M199" s="18">
        <v>0.51458333333333328</v>
      </c>
      <c r="N199" s="21">
        <v>46203</v>
      </c>
      <c r="O199" s="18">
        <v>0.13819444444444445</v>
      </c>
      <c r="P199" s="21">
        <v>46203</v>
      </c>
      <c r="Q199" s="18">
        <v>0.6694444444444444</v>
      </c>
      <c r="R199" s="21">
        <v>46203</v>
      </c>
      <c r="S199" s="18">
        <v>0.71597222222222223</v>
      </c>
      <c r="T199" s="12"/>
      <c r="U199" s="12">
        <v>0</v>
      </c>
      <c r="V199" s="12">
        <v>1</v>
      </c>
      <c r="W199" s="12">
        <v>0</v>
      </c>
      <c r="X199" s="12" t="s">
        <v>594</v>
      </c>
      <c r="Y199" s="17" t="s">
        <v>601</v>
      </c>
    </row>
    <row r="200" spans="5:25" ht="15">
      <c r="E200" s="60" t="s">
        <v>41</v>
      </c>
      <c r="F200" s="12">
        <v>768</v>
      </c>
      <c r="G200" s="17" t="s">
        <v>599</v>
      </c>
      <c r="H200" s="23">
        <v>2174</v>
      </c>
      <c r="I200" s="12"/>
      <c r="J200" s="12" t="s">
        <v>21</v>
      </c>
      <c r="K200" s="12">
        <v>36</v>
      </c>
      <c r="L200" s="21">
        <v>46203</v>
      </c>
      <c r="M200" s="18">
        <v>0.87916666666666665</v>
      </c>
      <c r="N200" s="21">
        <v>46204</v>
      </c>
      <c r="O200" s="18">
        <v>1.6666666666666666E-2</v>
      </c>
      <c r="P200" s="21">
        <v>46204</v>
      </c>
      <c r="Q200" s="18">
        <v>0.54791666666666672</v>
      </c>
      <c r="R200" s="21">
        <v>46204</v>
      </c>
      <c r="S200" s="18">
        <v>0.57708333333333328</v>
      </c>
      <c r="T200" s="12"/>
      <c r="U200" s="12">
        <v>0</v>
      </c>
      <c r="V200" s="12">
        <v>0</v>
      </c>
      <c r="W200" s="12">
        <v>0</v>
      </c>
      <c r="X200" s="12" t="s">
        <v>594</v>
      </c>
      <c r="Y200" s="17" t="s">
        <v>602</v>
      </c>
    </row>
    <row r="201" spans="5:25" ht="15">
      <c r="E201" s="60" t="s">
        <v>41</v>
      </c>
      <c r="F201" s="12">
        <v>769</v>
      </c>
      <c r="G201" s="17" t="s">
        <v>600</v>
      </c>
      <c r="H201" s="12">
        <v>2153</v>
      </c>
      <c r="I201" s="12" t="s">
        <v>283</v>
      </c>
      <c r="J201" s="12" t="s">
        <v>21</v>
      </c>
      <c r="K201" s="12">
        <v>35</v>
      </c>
      <c r="L201" s="21">
        <v>46204</v>
      </c>
      <c r="M201" s="18">
        <v>0.95</v>
      </c>
      <c r="N201" s="21">
        <v>46205</v>
      </c>
      <c r="O201" s="18">
        <v>0.27916666666666667</v>
      </c>
      <c r="P201" s="21">
        <v>46205</v>
      </c>
      <c r="Q201" s="18">
        <v>0.80486111111111114</v>
      </c>
      <c r="R201" s="21">
        <v>46205</v>
      </c>
      <c r="S201" s="18">
        <v>0.84097222222222223</v>
      </c>
      <c r="T201" s="12"/>
      <c r="U201" s="12">
        <v>0</v>
      </c>
      <c r="V201" s="12">
        <v>1</v>
      </c>
      <c r="W201" s="12">
        <v>0</v>
      </c>
      <c r="X201" s="84" t="s">
        <v>372</v>
      </c>
      <c r="Y201" s="17" t="s">
        <v>604</v>
      </c>
    </row>
    <row r="202" spans="5:25" ht="15">
      <c r="E202" s="60" t="s">
        <v>41</v>
      </c>
      <c r="F202" s="12">
        <v>770</v>
      </c>
      <c r="G202" s="17" t="s">
        <v>603</v>
      </c>
      <c r="H202" s="12">
        <v>2200</v>
      </c>
      <c r="I202" s="12" t="s">
        <v>318</v>
      </c>
      <c r="J202" s="12" t="s">
        <v>21</v>
      </c>
      <c r="K202" s="12">
        <v>37</v>
      </c>
      <c r="L202" s="21">
        <v>46205</v>
      </c>
      <c r="M202" s="18">
        <v>0.92569444444444449</v>
      </c>
      <c r="N202" s="21">
        <v>46206</v>
      </c>
      <c r="O202" s="18">
        <v>4.8611111111111112E-2</v>
      </c>
      <c r="P202" s="21">
        <v>46206</v>
      </c>
      <c r="Q202" s="18">
        <v>0.59027777777777779</v>
      </c>
      <c r="R202" s="21">
        <v>46206</v>
      </c>
      <c r="S202" s="18">
        <v>0.63402777777777775</v>
      </c>
      <c r="T202" s="12"/>
      <c r="U202" s="12">
        <v>0</v>
      </c>
      <c r="V202" s="12">
        <v>0</v>
      </c>
      <c r="W202" s="12">
        <v>0</v>
      </c>
      <c r="X202" s="12" t="s">
        <v>372</v>
      </c>
      <c r="Y202" s="17" t="s">
        <v>607</v>
      </c>
    </row>
    <row r="203" spans="5:25" ht="15">
      <c r="E203" s="60" t="s">
        <v>41</v>
      </c>
      <c r="F203" s="12">
        <v>771</v>
      </c>
      <c r="G203" s="17" t="s">
        <v>605</v>
      </c>
      <c r="H203" s="12">
        <v>2281</v>
      </c>
      <c r="I203" s="12" t="s">
        <v>283</v>
      </c>
      <c r="J203" s="12" t="s">
        <v>21</v>
      </c>
      <c r="K203" s="12">
        <v>36</v>
      </c>
      <c r="L203" s="21">
        <v>46206</v>
      </c>
      <c r="M203" s="18">
        <v>0.74444444444444446</v>
      </c>
      <c r="N203" s="21">
        <v>46206</v>
      </c>
      <c r="O203" s="18">
        <v>0.87638888888888888</v>
      </c>
      <c r="P203" s="21">
        <v>46207</v>
      </c>
      <c r="Q203" s="18">
        <v>0.23333333333333334</v>
      </c>
      <c r="R203" s="21">
        <v>46207</v>
      </c>
      <c r="S203" s="18">
        <v>0.27430555555555558</v>
      </c>
      <c r="T203" s="12"/>
      <c r="U203" s="12">
        <v>0</v>
      </c>
      <c r="V203" s="12">
        <v>4</v>
      </c>
      <c r="W203" s="12">
        <v>0</v>
      </c>
      <c r="X203" s="12" t="s">
        <v>372</v>
      </c>
      <c r="Y203" s="17" t="s">
        <v>606</v>
      </c>
    </row>
    <row r="204" spans="5:25" ht="15">
      <c r="E204" s="60" t="s">
        <v>41</v>
      </c>
      <c r="F204" s="12">
        <v>772</v>
      </c>
      <c r="G204" s="17" t="s">
        <v>608</v>
      </c>
      <c r="H204" s="12">
        <v>2311</v>
      </c>
      <c r="I204" s="12" t="s">
        <v>464</v>
      </c>
      <c r="J204" s="12" t="s">
        <v>21</v>
      </c>
      <c r="K204" s="12">
        <v>36</v>
      </c>
      <c r="L204" s="21">
        <v>46207</v>
      </c>
      <c r="M204" s="18">
        <v>0.35833333333333334</v>
      </c>
      <c r="N204" s="21">
        <v>46207</v>
      </c>
      <c r="O204" s="18">
        <v>0.48402777777777778</v>
      </c>
      <c r="P204" s="21">
        <v>46208</v>
      </c>
      <c r="Q204" s="18">
        <v>4.6527777777777779E-2</v>
      </c>
      <c r="R204" s="21">
        <v>46208</v>
      </c>
      <c r="S204" s="18">
        <v>8.1250000000000003E-2</v>
      </c>
      <c r="T204" s="12"/>
      <c r="U204" s="12">
        <v>0</v>
      </c>
      <c r="V204" s="12">
        <v>4</v>
      </c>
      <c r="W204" s="12">
        <v>0</v>
      </c>
      <c r="X204" s="12" t="s">
        <v>372</v>
      </c>
      <c r="Y204" s="17" t="s">
        <v>421</v>
      </c>
    </row>
    <row r="205" spans="5:25" ht="15.75" thickBot="1">
      <c r="E205" s="75" t="s">
        <v>41</v>
      </c>
      <c r="F205" s="77">
        <v>773</v>
      </c>
      <c r="G205" s="76" t="s">
        <v>609</v>
      </c>
      <c r="H205" s="77">
        <v>2287</v>
      </c>
      <c r="I205" s="77" t="s">
        <v>290</v>
      </c>
      <c r="J205" s="77" t="s">
        <v>21</v>
      </c>
      <c r="K205" s="77">
        <v>37</v>
      </c>
      <c r="L205" s="45">
        <v>46208</v>
      </c>
      <c r="M205" s="46">
        <v>0.16111111111111112</v>
      </c>
      <c r="N205" s="45">
        <v>46208</v>
      </c>
      <c r="O205" s="46">
        <v>0.28472222222222221</v>
      </c>
      <c r="P205" s="45">
        <v>46208</v>
      </c>
      <c r="Q205" s="46">
        <v>0.84166666666666667</v>
      </c>
      <c r="R205" s="45">
        <v>46208</v>
      </c>
      <c r="S205" s="46">
        <v>0.87916666666666665</v>
      </c>
      <c r="T205" s="77"/>
      <c r="U205" s="77">
        <v>0</v>
      </c>
      <c r="V205" s="77">
        <v>1</v>
      </c>
      <c r="W205" s="77">
        <v>0</v>
      </c>
      <c r="X205" s="77" t="s">
        <v>372</v>
      </c>
      <c r="Y205" s="76" t="s">
        <v>421</v>
      </c>
    </row>
    <row r="206" spans="5:25" ht="15">
      <c r="E206" s="79" t="s">
        <v>42</v>
      </c>
      <c r="F206" s="19">
        <v>774</v>
      </c>
      <c r="G206" s="72" t="s">
        <v>611</v>
      </c>
      <c r="H206" s="19">
        <v>2398</v>
      </c>
      <c r="I206" s="19" t="s">
        <v>331</v>
      </c>
      <c r="J206" s="12" t="s">
        <v>21</v>
      </c>
      <c r="K206" s="12">
        <v>36</v>
      </c>
      <c r="L206" s="21">
        <v>46208</v>
      </c>
      <c r="M206" s="74">
        <v>0.95902777777777781</v>
      </c>
      <c r="N206" s="21">
        <v>46209</v>
      </c>
      <c r="O206" s="74">
        <v>9.7222222222222224E-2</v>
      </c>
      <c r="P206" s="21">
        <v>46209</v>
      </c>
      <c r="Q206" s="74">
        <v>0.68194444444444446</v>
      </c>
      <c r="R206" s="21">
        <v>46209</v>
      </c>
      <c r="S206" s="74">
        <v>0.72638888888888886</v>
      </c>
      <c r="T206" s="19"/>
      <c r="U206" s="19">
        <v>0</v>
      </c>
      <c r="V206" s="19">
        <v>1</v>
      </c>
      <c r="W206" s="19">
        <v>0</v>
      </c>
      <c r="X206" s="19" t="s">
        <v>372</v>
      </c>
      <c r="Y206" s="72" t="s">
        <v>613</v>
      </c>
    </row>
    <row r="207" spans="5:25" ht="28.5">
      <c r="E207" s="79" t="s">
        <v>42</v>
      </c>
      <c r="F207" s="12">
        <v>775</v>
      </c>
      <c r="G207" s="17" t="s">
        <v>612</v>
      </c>
      <c r="H207" s="12">
        <f>445+764+312+789</f>
        <v>2310</v>
      </c>
      <c r="I207" s="12"/>
      <c r="J207" s="12" t="s">
        <v>21</v>
      </c>
      <c r="K207" s="12">
        <v>36</v>
      </c>
      <c r="L207" s="21">
        <v>46209</v>
      </c>
      <c r="M207" s="18">
        <v>0.81666666666666665</v>
      </c>
      <c r="N207" s="21">
        <v>46209</v>
      </c>
      <c r="O207" s="18">
        <v>0.94305555555555554</v>
      </c>
      <c r="P207" s="21">
        <v>46210</v>
      </c>
      <c r="Q207" s="18">
        <v>0.50486111111111109</v>
      </c>
      <c r="R207" s="21">
        <v>46210</v>
      </c>
      <c r="S207" s="18">
        <v>0.53680555555555554</v>
      </c>
      <c r="T207" s="12"/>
      <c r="U207" s="12">
        <v>0</v>
      </c>
      <c r="V207" s="12">
        <v>0</v>
      </c>
      <c r="W207" s="12">
        <v>0</v>
      </c>
      <c r="X207" s="19" t="s">
        <v>372</v>
      </c>
      <c r="Y207" s="17" t="s">
        <v>614</v>
      </c>
    </row>
    <row r="208" spans="5:25" ht="15">
      <c r="E208" s="79" t="s">
        <v>42</v>
      </c>
      <c r="F208" s="12">
        <v>776</v>
      </c>
      <c r="G208" s="17" t="s">
        <v>615</v>
      </c>
      <c r="H208" s="12">
        <f>1141+531</f>
        <v>1672</v>
      </c>
      <c r="I208" s="12"/>
      <c r="J208" s="12" t="s">
        <v>21</v>
      </c>
      <c r="K208" s="12">
        <v>36</v>
      </c>
      <c r="L208" s="21">
        <v>46210</v>
      </c>
      <c r="M208" s="18">
        <v>0.81944444444444442</v>
      </c>
      <c r="N208" s="21">
        <v>46210</v>
      </c>
      <c r="O208" s="18">
        <v>0.90208333333333335</v>
      </c>
      <c r="P208" s="21">
        <v>46211</v>
      </c>
      <c r="Q208" s="18">
        <v>0.31666666666666665</v>
      </c>
      <c r="R208" s="21">
        <v>46211</v>
      </c>
      <c r="S208" s="18">
        <v>0.35347222222222224</v>
      </c>
      <c r="T208" s="12"/>
      <c r="U208" s="12">
        <v>0</v>
      </c>
      <c r="V208" s="12">
        <v>1</v>
      </c>
      <c r="W208" s="12">
        <v>0</v>
      </c>
      <c r="X208" s="19" t="s">
        <v>372</v>
      </c>
      <c r="Y208" s="17" t="s">
        <v>626</v>
      </c>
    </row>
    <row r="209" spans="5:25" ht="15">
      <c r="E209" s="79" t="s">
        <v>42</v>
      </c>
      <c r="F209" s="12">
        <v>777</v>
      </c>
      <c r="G209" s="17" t="s">
        <v>616</v>
      </c>
      <c r="H209" s="12">
        <v>1714</v>
      </c>
      <c r="I209" s="12"/>
      <c r="J209" s="12" t="s">
        <v>21</v>
      </c>
      <c r="K209" s="12">
        <v>36</v>
      </c>
      <c r="L209" s="21">
        <v>46211</v>
      </c>
      <c r="M209" s="18">
        <v>0.41944444444444445</v>
      </c>
      <c r="N209" s="21">
        <v>46211</v>
      </c>
      <c r="O209" s="18">
        <v>0.55694444444444446</v>
      </c>
      <c r="P209" s="21">
        <v>46211</v>
      </c>
      <c r="Q209" s="18">
        <v>0.98124999999999996</v>
      </c>
      <c r="R209" s="21">
        <v>46212</v>
      </c>
      <c r="S209" s="18">
        <v>0.47499999999999998</v>
      </c>
      <c r="T209" s="12"/>
      <c r="U209" s="12">
        <v>0</v>
      </c>
      <c r="V209" s="12">
        <v>0</v>
      </c>
      <c r="W209" s="12">
        <v>0</v>
      </c>
      <c r="X209" s="19" t="s">
        <v>372</v>
      </c>
      <c r="Y209" s="98" t="s">
        <v>617</v>
      </c>
    </row>
    <row r="210" spans="5:25" ht="15">
      <c r="E210" s="79" t="s">
        <v>42</v>
      </c>
      <c r="F210" s="12">
        <v>778</v>
      </c>
      <c r="G210" s="17" t="s">
        <v>618</v>
      </c>
      <c r="H210" s="12">
        <v>1620</v>
      </c>
      <c r="I210" s="12" t="s">
        <v>619</v>
      </c>
      <c r="J210" s="12" t="s">
        <v>21</v>
      </c>
      <c r="K210" s="12">
        <v>36</v>
      </c>
      <c r="L210" s="21">
        <v>46212</v>
      </c>
      <c r="M210" s="18">
        <v>0.55000000000000004</v>
      </c>
      <c r="N210" s="21">
        <v>46212</v>
      </c>
      <c r="O210" s="18">
        <v>0.67291666666666672</v>
      </c>
      <c r="P210" s="21">
        <v>46213</v>
      </c>
      <c r="Q210" s="18">
        <v>7.5694444444444439E-2</v>
      </c>
      <c r="R210" s="21">
        <v>46213</v>
      </c>
      <c r="S210" s="18">
        <v>0.12986111111111112</v>
      </c>
      <c r="T210" s="12"/>
      <c r="U210" s="12">
        <v>0</v>
      </c>
      <c r="V210" s="12">
        <v>0</v>
      </c>
      <c r="W210" s="12">
        <v>0</v>
      </c>
      <c r="X210" s="19" t="s">
        <v>372</v>
      </c>
      <c r="Y210" s="17" t="s">
        <v>620</v>
      </c>
    </row>
    <row r="211" spans="5:25" ht="15">
      <c r="E211" s="79" t="s">
        <v>42</v>
      </c>
      <c r="F211" s="12">
        <v>779</v>
      </c>
      <c r="G211" s="17" t="s">
        <v>621</v>
      </c>
      <c r="H211" s="12">
        <v>1074</v>
      </c>
      <c r="I211" s="12" t="s">
        <v>290</v>
      </c>
      <c r="J211" s="12" t="s">
        <v>622</v>
      </c>
      <c r="K211" s="12">
        <v>100</v>
      </c>
      <c r="L211" s="21">
        <v>46213</v>
      </c>
      <c r="M211" s="18">
        <v>0.17291666666666666</v>
      </c>
      <c r="N211" s="21">
        <v>46213</v>
      </c>
      <c r="O211" s="18">
        <v>0.4</v>
      </c>
      <c r="P211" s="21">
        <v>46213</v>
      </c>
      <c r="Q211" s="18">
        <v>0.7319444444444444</v>
      </c>
      <c r="R211" s="21">
        <v>46213</v>
      </c>
      <c r="S211" s="18">
        <v>0.79236111111111107</v>
      </c>
      <c r="T211" s="12"/>
      <c r="U211" s="12">
        <v>0</v>
      </c>
      <c r="V211" s="12">
        <v>0</v>
      </c>
      <c r="W211" s="12">
        <v>0</v>
      </c>
      <c r="X211" s="19" t="s">
        <v>372</v>
      </c>
      <c r="Y211" s="17" t="s">
        <v>625</v>
      </c>
    </row>
    <row r="212" spans="5:25" ht="15">
      <c r="E212" s="79" t="s">
        <v>42</v>
      </c>
      <c r="F212" s="12">
        <v>780</v>
      </c>
      <c r="G212" s="17" t="s">
        <v>623</v>
      </c>
      <c r="H212" s="12">
        <v>1978</v>
      </c>
      <c r="I212" s="12" t="s">
        <v>318</v>
      </c>
      <c r="J212" s="12" t="s">
        <v>624</v>
      </c>
      <c r="K212" s="12">
        <v>45</v>
      </c>
      <c r="L212" s="21">
        <v>46213</v>
      </c>
      <c r="M212" s="18">
        <v>0.8833333333333333</v>
      </c>
      <c r="N212" s="21">
        <v>46214</v>
      </c>
      <c r="O212" s="18">
        <v>2.2916666666666665E-2</v>
      </c>
      <c r="P212" s="21">
        <v>46214</v>
      </c>
      <c r="Q212" s="18">
        <v>0.5083333333333333</v>
      </c>
      <c r="R212" s="21">
        <v>46214</v>
      </c>
      <c r="S212" s="18">
        <v>0.54374999999999996</v>
      </c>
      <c r="T212" s="12"/>
      <c r="U212" s="12">
        <v>0</v>
      </c>
      <c r="V212" s="12">
        <v>0</v>
      </c>
      <c r="W212" s="12">
        <v>0</v>
      </c>
      <c r="X212" s="19" t="s">
        <v>372</v>
      </c>
      <c r="Y212" s="17" t="s">
        <v>628</v>
      </c>
    </row>
    <row r="213" spans="5:25" ht="15">
      <c r="E213" s="79" t="s">
        <v>42</v>
      </c>
      <c r="F213" s="12">
        <v>781</v>
      </c>
      <c r="G213" s="17" t="s">
        <v>627</v>
      </c>
      <c r="H213" s="12">
        <v>2326</v>
      </c>
      <c r="I213" s="12" t="s">
        <v>297</v>
      </c>
      <c r="J213" s="12" t="s">
        <v>624</v>
      </c>
      <c r="K213" s="12">
        <v>45</v>
      </c>
      <c r="L213" s="21">
        <v>46214</v>
      </c>
      <c r="M213" s="18">
        <v>0.76041666666666663</v>
      </c>
      <c r="N213" s="21">
        <v>46214</v>
      </c>
      <c r="O213" s="18">
        <v>0.84861111111111109</v>
      </c>
      <c r="P213" s="21">
        <v>46215</v>
      </c>
      <c r="Q213" s="18">
        <v>0.41458333333333336</v>
      </c>
      <c r="R213" s="21">
        <v>46215</v>
      </c>
      <c r="S213" s="18">
        <v>0.4513888888888889</v>
      </c>
      <c r="T213" s="12"/>
      <c r="U213" s="12">
        <v>0</v>
      </c>
      <c r="V213" s="12">
        <v>0</v>
      </c>
      <c r="W213" s="12">
        <v>0</v>
      </c>
      <c r="X213" s="19" t="s">
        <v>372</v>
      </c>
      <c r="Y213" s="17"/>
    </row>
    <row r="214" spans="5:25" ht="15.75" thickBot="1">
      <c r="E214" s="75" t="s">
        <v>42</v>
      </c>
      <c r="F214" s="77">
        <v>782</v>
      </c>
      <c r="G214" s="173" t="s">
        <v>631</v>
      </c>
      <c r="H214" s="77">
        <v>1707</v>
      </c>
      <c r="I214" s="77" t="s">
        <v>331</v>
      </c>
      <c r="J214" s="77" t="s">
        <v>624</v>
      </c>
      <c r="K214" s="77">
        <v>45</v>
      </c>
      <c r="L214" s="45">
        <v>46215</v>
      </c>
      <c r="M214" s="46">
        <v>0.54861111111111116</v>
      </c>
      <c r="N214" s="45">
        <v>46215</v>
      </c>
      <c r="O214" s="46">
        <v>0.65972222222222221</v>
      </c>
      <c r="P214" s="45">
        <v>46216</v>
      </c>
      <c r="Q214" s="46">
        <v>8.2638888888888887E-2</v>
      </c>
      <c r="R214" s="45">
        <v>46216</v>
      </c>
      <c r="S214" s="46">
        <v>0.11388888888888889</v>
      </c>
      <c r="T214" s="77"/>
      <c r="U214" s="77">
        <v>0</v>
      </c>
      <c r="V214" s="77">
        <v>1</v>
      </c>
      <c r="W214" s="77">
        <v>0</v>
      </c>
      <c r="X214" s="77" t="s">
        <v>372</v>
      </c>
      <c r="Y214" s="76" t="s">
        <v>630</v>
      </c>
    </row>
    <row r="215" spans="5:25" ht="15">
      <c r="E215" s="79" t="s">
        <v>43</v>
      </c>
      <c r="F215" s="19">
        <v>783</v>
      </c>
      <c r="G215" s="72" t="s">
        <v>632</v>
      </c>
      <c r="H215" s="52">
        <v>300</v>
      </c>
      <c r="I215" s="174" t="s">
        <v>318</v>
      </c>
      <c r="J215" s="174" t="s">
        <v>21</v>
      </c>
      <c r="K215" s="174">
        <v>36</v>
      </c>
      <c r="L215" s="176">
        <v>46216</v>
      </c>
      <c r="M215" s="175">
        <v>0.16805555555555557</v>
      </c>
      <c r="N215" s="176">
        <v>46216</v>
      </c>
      <c r="O215" s="175">
        <v>0.24930555555555556</v>
      </c>
      <c r="P215" s="176">
        <v>46216</v>
      </c>
      <c r="Q215" s="175">
        <v>0.49236111111111114</v>
      </c>
      <c r="R215" s="176">
        <v>46216</v>
      </c>
      <c r="S215" s="175">
        <v>0.52083333333333337</v>
      </c>
      <c r="T215" s="52"/>
      <c r="U215" s="52">
        <v>0</v>
      </c>
      <c r="V215" s="52">
        <v>0</v>
      </c>
      <c r="W215" s="52">
        <v>0</v>
      </c>
      <c r="X215" s="52" t="s">
        <v>372</v>
      </c>
      <c r="Y215" s="143" t="s">
        <v>633</v>
      </c>
    </row>
    <row r="216" spans="5:25" ht="15">
      <c r="E216" s="79" t="s">
        <v>43</v>
      </c>
      <c r="F216" s="12">
        <v>784</v>
      </c>
      <c r="G216" s="22" t="s">
        <v>634</v>
      </c>
      <c r="H216" s="12">
        <v>1199</v>
      </c>
      <c r="I216" s="12" t="s">
        <v>318</v>
      </c>
      <c r="J216" s="12" t="s">
        <v>624</v>
      </c>
      <c r="K216" s="12">
        <v>45</v>
      </c>
      <c r="L216" s="142">
        <v>46216</v>
      </c>
      <c r="M216" s="18">
        <v>0.89027777777777772</v>
      </c>
      <c r="N216" s="142">
        <v>46217</v>
      </c>
      <c r="O216" s="18">
        <v>1.7361111111111112E-2</v>
      </c>
      <c r="P216" s="142">
        <v>46217</v>
      </c>
      <c r="Q216" s="18">
        <v>0.2951388888888889</v>
      </c>
      <c r="R216" s="142">
        <v>46217</v>
      </c>
      <c r="S216" s="18">
        <v>0.33333333333333331</v>
      </c>
      <c r="T216" s="12"/>
      <c r="U216" s="12">
        <v>0</v>
      </c>
      <c r="V216" s="12">
        <v>1</v>
      </c>
      <c r="W216" s="12">
        <v>0</v>
      </c>
      <c r="X216" s="19" t="s">
        <v>372</v>
      </c>
      <c r="Y216" s="17"/>
    </row>
    <row r="217" spans="5:25" ht="28.5">
      <c r="E217" s="79" t="s">
        <v>43</v>
      </c>
      <c r="F217" s="12">
        <v>785</v>
      </c>
      <c r="G217" s="17" t="s">
        <v>635</v>
      </c>
      <c r="H217" s="12">
        <v>2596</v>
      </c>
      <c r="I217" s="19" t="s">
        <v>636</v>
      </c>
      <c r="J217" s="19" t="s">
        <v>637</v>
      </c>
      <c r="K217" s="19" t="s">
        <v>638</v>
      </c>
      <c r="L217" s="142">
        <v>46217</v>
      </c>
      <c r="M217" s="74">
        <v>0.69097222222222221</v>
      </c>
      <c r="N217" s="142">
        <v>46217</v>
      </c>
      <c r="O217" s="74">
        <v>0.80347222222222225</v>
      </c>
      <c r="P217" s="142">
        <v>46218</v>
      </c>
      <c r="Q217" s="74">
        <v>0.43194444444444446</v>
      </c>
      <c r="R217" s="142">
        <v>46218</v>
      </c>
      <c r="S217" s="74">
        <v>0.46736111111111112</v>
      </c>
      <c r="T217" s="12"/>
      <c r="U217" s="12">
        <v>0</v>
      </c>
      <c r="V217" s="12">
        <v>0</v>
      </c>
      <c r="W217" s="12">
        <v>1</v>
      </c>
      <c r="X217" s="19" t="s">
        <v>372</v>
      </c>
      <c r="Y217" s="17"/>
    </row>
    <row r="218" spans="5:25" ht="15">
      <c r="E218" s="79" t="s">
        <v>43</v>
      </c>
      <c r="F218" s="12">
        <v>786</v>
      </c>
      <c r="G218" s="17" t="s">
        <v>639</v>
      </c>
      <c r="H218" s="12">
        <v>2548</v>
      </c>
      <c r="I218" s="19" t="s">
        <v>640</v>
      </c>
      <c r="J218" s="12" t="s">
        <v>641</v>
      </c>
      <c r="K218" s="12" t="s">
        <v>642</v>
      </c>
      <c r="L218" s="142">
        <v>46218</v>
      </c>
      <c r="M218" s="18">
        <v>0.53888888888888886</v>
      </c>
      <c r="N218" s="142">
        <v>46218</v>
      </c>
      <c r="O218" s="18">
        <v>0.67013888888888884</v>
      </c>
      <c r="P218" s="142">
        <v>46219</v>
      </c>
      <c r="Q218" s="18">
        <v>0.28819444444444442</v>
      </c>
      <c r="R218" s="142">
        <v>46219</v>
      </c>
      <c r="S218" s="18">
        <v>0.33333333333333331</v>
      </c>
      <c r="T218" s="12"/>
      <c r="U218" s="12">
        <v>0</v>
      </c>
      <c r="V218" s="12">
        <v>0</v>
      </c>
      <c r="W218" s="12">
        <v>0</v>
      </c>
      <c r="X218" s="19" t="s">
        <v>372</v>
      </c>
      <c r="Y218" s="17" t="s">
        <v>643</v>
      </c>
    </row>
    <row r="219" spans="5:25" ht="28.5">
      <c r="E219" s="79" t="s">
        <v>43</v>
      </c>
      <c r="F219" s="12">
        <v>787</v>
      </c>
      <c r="G219" s="22" t="s">
        <v>644</v>
      </c>
      <c r="H219" s="12">
        <v>1979</v>
      </c>
      <c r="I219" s="12" t="s">
        <v>290</v>
      </c>
      <c r="J219" s="19" t="s">
        <v>637</v>
      </c>
      <c r="K219" s="19" t="s">
        <v>638</v>
      </c>
      <c r="L219" s="142">
        <v>46219</v>
      </c>
      <c r="M219" s="18">
        <v>0.48125000000000001</v>
      </c>
      <c r="N219" s="142">
        <v>46219</v>
      </c>
      <c r="O219" s="18">
        <v>0.61319444444444449</v>
      </c>
      <c r="P219" s="142">
        <v>46220</v>
      </c>
      <c r="Q219" s="18">
        <v>7.0833333333333331E-2</v>
      </c>
      <c r="R219" s="142">
        <v>46220</v>
      </c>
      <c r="S219" s="18">
        <v>8.819444444444445E-2</v>
      </c>
      <c r="T219" s="12"/>
      <c r="U219" s="12">
        <v>0</v>
      </c>
      <c r="V219" s="12">
        <v>0</v>
      </c>
      <c r="W219" s="12">
        <v>0</v>
      </c>
      <c r="X219" s="19" t="s">
        <v>372</v>
      </c>
      <c r="Y219" s="17" t="s">
        <v>645</v>
      </c>
    </row>
    <row r="220" spans="5:25" ht="15">
      <c r="E220" s="79" t="s">
        <v>43</v>
      </c>
      <c r="F220" s="12">
        <v>788</v>
      </c>
      <c r="G220" s="17" t="s">
        <v>648</v>
      </c>
      <c r="H220" s="12">
        <v>2394</v>
      </c>
      <c r="I220" s="12" t="s">
        <v>646</v>
      </c>
      <c r="J220" s="12" t="s">
        <v>624</v>
      </c>
      <c r="K220" s="12">
        <v>45</v>
      </c>
      <c r="L220" s="142">
        <v>46220</v>
      </c>
      <c r="M220" s="18">
        <v>0.33333333333333331</v>
      </c>
      <c r="N220" s="142">
        <v>46220</v>
      </c>
      <c r="O220" s="18">
        <v>0.45833333333333331</v>
      </c>
      <c r="P220" s="142">
        <v>46220</v>
      </c>
      <c r="Q220" s="18">
        <v>0.62916666666666665</v>
      </c>
      <c r="R220" s="142">
        <v>46220</v>
      </c>
      <c r="S220" s="18">
        <v>0.65277777777777779</v>
      </c>
      <c r="T220" s="12"/>
      <c r="U220" s="12">
        <v>0</v>
      </c>
      <c r="V220" s="12">
        <v>0</v>
      </c>
      <c r="W220" s="12">
        <v>0</v>
      </c>
      <c r="X220" s="19" t="s">
        <v>372</v>
      </c>
      <c r="Y220" s="17" t="s">
        <v>647</v>
      </c>
    </row>
    <row r="221" spans="5:25" ht="15">
      <c r="E221" s="79" t="s">
        <v>43</v>
      </c>
      <c r="F221" s="12">
        <v>789</v>
      </c>
      <c r="G221" s="17" t="s">
        <v>650</v>
      </c>
      <c r="H221" s="12">
        <v>1761</v>
      </c>
      <c r="I221" s="12" t="s">
        <v>285</v>
      </c>
      <c r="J221" s="12" t="s">
        <v>624</v>
      </c>
      <c r="K221" s="12">
        <v>45</v>
      </c>
      <c r="L221" s="142">
        <v>46220</v>
      </c>
      <c r="M221" s="18">
        <v>0.80833333333333335</v>
      </c>
      <c r="N221" s="142">
        <v>46220</v>
      </c>
      <c r="O221" s="18">
        <v>0.92152777777777772</v>
      </c>
      <c r="P221" s="142">
        <v>46221</v>
      </c>
      <c r="Q221" s="18">
        <v>0.35694444444444445</v>
      </c>
      <c r="R221" s="142">
        <v>46221</v>
      </c>
      <c r="S221" s="18">
        <v>0.39652777777777776</v>
      </c>
      <c r="T221" s="12"/>
      <c r="U221" s="12">
        <v>0</v>
      </c>
      <c r="V221" s="12">
        <v>0</v>
      </c>
      <c r="W221" s="12">
        <v>0</v>
      </c>
      <c r="X221" s="19" t="s">
        <v>372</v>
      </c>
      <c r="Y221" s="17" t="s">
        <v>649</v>
      </c>
    </row>
    <row r="222" spans="5:25" ht="15">
      <c r="E222" s="79" t="s">
        <v>43</v>
      </c>
      <c r="F222" s="12">
        <v>790</v>
      </c>
      <c r="G222" s="17" t="s">
        <v>652</v>
      </c>
      <c r="H222" s="12">
        <v>2185</v>
      </c>
      <c r="I222" s="12"/>
      <c r="J222" s="12" t="s">
        <v>624</v>
      </c>
      <c r="K222" s="12">
        <v>45</v>
      </c>
      <c r="L222" s="142">
        <v>46221</v>
      </c>
      <c r="M222" s="18">
        <v>0.50138888888888888</v>
      </c>
      <c r="N222" s="142">
        <v>46221</v>
      </c>
      <c r="O222" s="18">
        <v>0.62013888888888891</v>
      </c>
      <c r="P222" s="142">
        <v>46222</v>
      </c>
      <c r="Q222" s="18">
        <v>0.12638888888888888</v>
      </c>
      <c r="R222" s="142">
        <v>46222</v>
      </c>
      <c r="S222" s="18">
        <v>0.16666666666666666</v>
      </c>
      <c r="T222" s="12"/>
      <c r="U222" s="12">
        <v>0</v>
      </c>
      <c r="V222" s="12">
        <v>1</v>
      </c>
      <c r="W222" s="12">
        <v>0</v>
      </c>
      <c r="X222" s="19" t="s">
        <v>372</v>
      </c>
      <c r="Y222" s="17" t="s">
        <v>653</v>
      </c>
    </row>
    <row r="223" spans="5:25" ht="29.25" thickBot="1">
      <c r="E223" s="75" t="s">
        <v>43</v>
      </c>
      <c r="F223" s="77">
        <v>791</v>
      </c>
      <c r="G223" s="76" t="s">
        <v>651</v>
      </c>
      <c r="H223" s="77">
        <v>2374</v>
      </c>
      <c r="I223" s="77" t="s">
        <v>297</v>
      </c>
      <c r="J223" s="77" t="s">
        <v>624</v>
      </c>
      <c r="K223" s="77">
        <v>45</v>
      </c>
      <c r="L223" s="147">
        <v>46222</v>
      </c>
      <c r="M223" s="46">
        <v>0.42986111111111114</v>
      </c>
      <c r="N223" s="147">
        <v>46222</v>
      </c>
      <c r="O223" s="46">
        <v>0.54583333333333328</v>
      </c>
      <c r="P223" s="147">
        <v>46223</v>
      </c>
      <c r="Q223" s="46">
        <v>9.583333333333334E-2</v>
      </c>
      <c r="R223" s="147">
        <v>46223</v>
      </c>
      <c r="S223" s="46">
        <v>0.12847222222222221</v>
      </c>
      <c r="T223" s="77"/>
      <c r="U223" s="77">
        <v>0</v>
      </c>
      <c r="V223" s="77">
        <v>3</v>
      </c>
      <c r="W223" s="77">
        <v>0</v>
      </c>
      <c r="X223" s="77" t="s">
        <v>372</v>
      </c>
      <c r="Y223" s="76" t="s">
        <v>654</v>
      </c>
    </row>
    <row r="224" spans="5:25" ht="28.5">
      <c r="E224" s="79" t="s">
        <v>44</v>
      </c>
      <c r="F224" s="19">
        <v>792</v>
      </c>
      <c r="G224" s="72" t="s">
        <v>656</v>
      </c>
      <c r="H224" s="19">
        <v>1893</v>
      </c>
      <c r="I224" s="19" t="s">
        <v>308</v>
      </c>
      <c r="J224" s="19" t="s">
        <v>624</v>
      </c>
      <c r="K224" s="19">
        <v>45</v>
      </c>
      <c r="L224" s="133">
        <v>46223</v>
      </c>
      <c r="M224" s="74">
        <v>0.54791666666666672</v>
      </c>
      <c r="N224" s="133">
        <v>46223</v>
      </c>
      <c r="O224" s="74">
        <v>0.62083333333333335</v>
      </c>
      <c r="P224" s="133">
        <v>46224</v>
      </c>
      <c r="Q224" s="74">
        <v>8.6805555555555552E-2</v>
      </c>
      <c r="R224" s="133">
        <v>46224</v>
      </c>
      <c r="S224" s="74">
        <v>0.16666666666666666</v>
      </c>
      <c r="T224" s="19"/>
      <c r="U224" s="19">
        <v>0</v>
      </c>
      <c r="V224" s="19">
        <v>0</v>
      </c>
      <c r="W224" s="19">
        <v>0</v>
      </c>
      <c r="X224" s="100" t="s">
        <v>507</v>
      </c>
      <c r="Y224" s="161" t="s">
        <v>657</v>
      </c>
    </row>
    <row r="225" spans="5:25" ht="15">
      <c r="E225" s="79" t="s">
        <v>44</v>
      </c>
      <c r="F225" s="12">
        <v>793</v>
      </c>
      <c r="G225" s="17" t="s">
        <v>659</v>
      </c>
      <c r="H225" s="12">
        <v>2104</v>
      </c>
      <c r="I225" s="19" t="s">
        <v>308</v>
      </c>
      <c r="J225" s="19" t="s">
        <v>624</v>
      </c>
      <c r="K225" s="19">
        <v>45</v>
      </c>
      <c r="L225" s="133">
        <v>46224</v>
      </c>
      <c r="M225" s="18">
        <v>0.35694444444444445</v>
      </c>
      <c r="N225" s="133">
        <v>46224</v>
      </c>
      <c r="O225" s="18">
        <v>0.47916666666666669</v>
      </c>
      <c r="P225" s="133">
        <v>46224</v>
      </c>
      <c r="Q225" s="18">
        <v>0.99375000000000002</v>
      </c>
      <c r="R225" s="133">
        <v>46225</v>
      </c>
      <c r="S225" s="18">
        <v>2.8472222222222222E-2</v>
      </c>
      <c r="T225" s="12"/>
      <c r="U225" s="12">
        <v>0</v>
      </c>
      <c r="V225" s="12">
        <v>1</v>
      </c>
      <c r="W225" s="12">
        <v>0</v>
      </c>
      <c r="X225" s="12" t="s">
        <v>507</v>
      </c>
      <c r="Y225" s="17" t="s">
        <v>658</v>
      </c>
    </row>
    <row r="226" spans="5:25" ht="15">
      <c r="E226" s="79" t="s">
        <v>44</v>
      </c>
      <c r="F226" s="12">
        <v>794</v>
      </c>
      <c r="G226" s="17" t="s">
        <v>660</v>
      </c>
      <c r="H226" s="12">
        <v>2016</v>
      </c>
      <c r="I226" s="19" t="s">
        <v>308</v>
      </c>
      <c r="J226" s="19" t="s">
        <v>624</v>
      </c>
      <c r="K226" s="19">
        <v>45</v>
      </c>
      <c r="L226" s="133">
        <v>46225</v>
      </c>
      <c r="M226" s="18">
        <v>0.20972222222222223</v>
      </c>
      <c r="N226" s="133">
        <v>46225</v>
      </c>
      <c r="O226" s="18">
        <v>0.37152777777777779</v>
      </c>
      <c r="P226" s="133">
        <v>46225</v>
      </c>
      <c r="Q226" s="18">
        <v>0.86597222222222225</v>
      </c>
      <c r="R226" s="133">
        <v>46225</v>
      </c>
      <c r="S226" s="18">
        <v>0.90972222222222221</v>
      </c>
      <c r="T226" s="12"/>
      <c r="U226" s="12">
        <v>0</v>
      </c>
      <c r="V226" s="12">
        <v>0</v>
      </c>
      <c r="W226" s="12">
        <v>0</v>
      </c>
      <c r="X226" s="12" t="s">
        <v>507</v>
      </c>
      <c r="Y226" s="17" t="s">
        <v>661</v>
      </c>
    </row>
    <row r="227" spans="5:25" ht="15">
      <c r="E227" s="79" t="s">
        <v>44</v>
      </c>
      <c r="F227" s="12">
        <v>795</v>
      </c>
      <c r="G227" s="17" t="s">
        <v>663</v>
      </c>
      <c r="H227" s="12">
        <v>2249</v>
      </c>
      <c r="I227" s="19" t="s">
        <v>331</v>
      </c>
      <c r="J227" s="19" t="s">
        <v>624</v>
      </c>
      <c r="K227" s="19">
        <v>45</v>
      </c>
      <c r="L227" s="133">
        <v>46226</v>
      </c>
      <c r="M227" s="18">
        <v>6.9444444444444447E-4</v>
      </c>
      <c r="N227" s="133">
        <v>46226</v>
      </c>
      <c r="O227" s="18">
        <v>0.11458333333333333</v>
      </c>
      <c r="P227" s="133">
        <v>46226</v>
      </c>
      <c r="Q227" s="18">
        <v>0.66249999999999998</v>
      </c>
      <c r="R227" s="133">
        <v>46226</v>
      </c>
      <c r="S227" s="18">
        <v>0.69444444444444442</v>
      </c>
      <c r="T227" s="12"/>
      <c r="U227" s="12">
        <v>0</v>
      </c>
      <c r="V227" s="12">
        <v>0</v>
      </c>
      <c r="W227" s="12">
        <v>0</v>
      </c>
      <c r="X227" s="12" t="s">
        <v>507</v>
      </c>
      <c r="Y227" s="17" t="s">
        <v>662</v>
      </c>
    </row>
    <row r="228" spans="5:25" ht="28.5">
      <c r="E228" s="79" t="s">
        <v>44</v>
      </c>
      <c r="F228" s="12">
        <v>796</v>
      </c>
      <c r="G228" s="17" t="s">
        <v>664</v>
      </c>
      <c r="H228" s="12">
        <v>2139</v>
      </c>
      <c r="I228" s="19" t="s">
        <v>331</v>
      </c>
      <c r="J228" s="19" t="s">
        <v>624</v>
      </c>
      <c r="K228" s="19">
        <v>45</v>
      </c>
      <c r="L228" s="133">
        <v>46226</v>
      </c>
      <c r="M228" s="18">
        <v>0.91249999999999998</v>
      </c>
      <c r="N228" s="133">
        <v>46227</v>
      </c>
      <c r="O228" s="18">
        <v>3.0555555555555555E-2</v>
      </c>
      <c r="P228" s="133">
        <v>46227</v>
      </c>
      <c r="Q228" s="18">
        <v>0.55347222222222225</v>
      </c>
      <c r="R228" s="133">
        <v>46227</v>
      </c>
      <c r="S228" s="18">
        <v>0.58958333333333335</v>
      </c>
      <c r="T228" s="12"/>
      <c r="U228" s="12">
        <v>0</v>
      </c>
      <c r="V228" s="12">
        <v>0</v>
      </c>
      <c r="W228" s="12">
        <v>0</v>
      </c>
      <c r="X228" s="12" t="s">
        <v>507</v>
      </c>
      <c r="Y228" s="17" t="s">
        <v>665</v>
      </c>
    </row>
    <row r="229" spans="5:25" ht="28.5">
      <c r="E229" s="79" t="s">
        <v>44</v>
      </c>
      <c r="F229" s="12">
        <v>797</v>
      </c>
      <c r="G229" s="17" t="s">
        <v>666</v>
      </c>
      <c r="H229" s="12">
        <v>2491</v>
      </c>
      <c r="I229" s="12" t="s">
        <v>285</v>
      </c>
      <c r="J229" s="19" t="s">
        <v>624</v>
      </c>
      <c r="K229" s="12">
        <v>45</v>
      </c>
      <c r="L229" s="133">
        <v>46227</v>
      </c>
      <c r="M229" s="18">
        <v>0.73611111111111116</v>
      </c>
      <c r="N229" s="133">
        <v>46227</v>
      </c>
      <c r="O229" s="18">
        <v>0.81666666666666665</v>
      </c>
      <c r="P229" s="133">
        <v>46228</v>
      </c>
      <c r="Q229" s="18">
        <v>0.39305555555555555</v>
      </c>
      <c r="R229" s="133">
        <v>46228</v>
      </c>
      <c r="S229" s="18">
        <v>0.42986111111111114</v>
      </c>
      <c r="T229" s="12"/>
      <c r="U229" s="12">
        <v>0</v>
      </c>
      <c r="V229" s="12">
        <v>1</v>
      </c>
      <c r="W229" s="12">
        <v>0</v>
      </c>
      <c r="X229" s="12" t="s">
        <v>507</v>
      </c>
      <c r="Y229" s="17"/>
    </row>
    <row r="230" spans="5:25" ht="15">
      <c r="E230" s="79" t="s">
        <v>44</v>
      </c>
      <c r="F230" s="12">
        <v>798</v>
      </c>
      <c r="G230" s="17" t="s">
        <v>669</v>
      </c>
      <c r="H230" s="12">
        <f>386+359</f>
        <v>745</v>
      </c>
      <c r="I230" s="12" t="s">
        <v>318</v>
      </c>
      <c r="J230" s="19" t="s">
        <v>624</v>
      </c>
      <c r="K230" s="12">
        <v>45</v>
      </c>
      <c r="L230" s="133">
        <v>46228</v>
      </c>
      <c r="M230" s="18">
        <v>0.4909722222222222</v>
      </c>
      <c r="N230" s="133">
        <v>46228</v>
      </c>
      <c r="O230" s="18">
        <v>0.60347222222222219</v>
      </c>
      <c r="P230" s="133">
        <v>46228</v>
      </c>
      <c r="Q230" s="18">
        <v>0.75</v>
      </c>
      <c r="R230" s="133">
        <v>46228</v>
      </c>
      <c r="S230" s="18">
        <v>0.77430555555555558</v>
      </c>
      <c r="T230" s="12"/>
      <c r="U230" s="12">
        <v>0</v>
      </c>
      <c r="V230" s="12">
        <v>0</v>
      </c>
      <c r="W230" s="12">
        <v>0</v>
      </c>
      <c r="X230" s="12" t="s">
        <v>507</v>
      </c>
      <c r="Y230" s="17" t="s">
        <v>668</v>
      </c>
    </row>
    <row r="231" spans="5:25" ht="15.75" thickBot="1">
      <c r="E231" s="75" t="s">
        <v>44</v>
      </c>
      <c r="F231" s="77">
        <v>799</v>
      </c>
      <c r="G231" s="76" t="s">
        <v>667</v>
      </c>
      <c r="H231" s="77">
        <f>1315+1153</f>
        <v>2468</v>
      </c>
      <c r="I231" s="77" t="s">
        <v>297</v>
      </c>
      <c r="J231" s="77" t="s">
        <v>624</v>
      </c>
      <c r="K231" s="77">
        <v>45</v>
      </c>
      <c r="L231" s="147">
        <v>46229</v>
      </c>
      <c r="M231" s="46">
        <v>2.7777777777777776E-2</v>
      </c>
      <c r="N231" s="147">
        <v>46229</v>
      </c>
      <c r="O231" s="46">
        <v>0.27638888888888891</v>
      </c>
      <c r="P231" s="147">
        <v>46229</v>
      </c>
      <c r="Q231" s="46">
        <v>0.87569444444444444</v>
      </c>
      <c r="R231" s="147">
        <v>46229</v>
      </c>
      <c r="S231" s="46">
        <v>0.91736111111111107</v>
      </c>
      <c r="T231" s="77"/>
      <c r="U231" s="77">
        <v>0</v>
      </c>
      <c r="V231" s="77">
        <v>0</v>
      </c>
      <c r="W231" s="77">
        <v>1</v>
      </c>
      <c r="X231" s="77" t="s">
        <v>507</v>
      </c>
      <c r="Y231" s="76" t="s">
        <v>614</v>
      </c>
    </row>
    <row r="232" spans="5:25" ht="15">
      <c r="E232" s="79" t="s">
        <v>87</v>
      </c>
      <c r="F232" s="19">
        <v>800</v>
      </c>
      <c r="G232" s="72" t="s">
        <v>672</v>
      </c>
      <c r="H232" s="19">
        <v>2144</v>
      </c>
      <c r="I232" s="19" t="s">
        <v>308</v>
      </c>
      <c r="J232" s="19" t="s">
        <v>21</v>
      </c>
      <c r="K232" s="19">
        <v>36</v>
      </c>
      <c r="L232" s="133">
        <v>46230</v>
      </c>
      <c r="M232" s="74">
        <v>0.77430555555555558</v>
      </c>
      <c r="N232" s="133">
        <v>46230</v>
      </c>
      <c r="O232" s="74">
        <v>0.88194444444444442</v>
      </c>
      <c r="P232" s="133">
        <v>46231</v>
      </c>
      <c r="Q232" s="74">
        <v>0.27500000000000002</v>
      </c>
      <c r="R232" s="133">
        <v>46231</v>
      </c>
      <c r="S232" s="74">
        <v>0.31458333333333333</v>
      </c>
      <c r="T232" s="19"/>
      <c r="U232" s="19">
        <v>0</v>
      </c>
      <c r="V232" s="19">
        <v>1</v>
      </c>
      <c r="W232" s="19">
        <v>0</v>
      </c>
      <c r="X232" s="100" t="s">
        <v>526</v>
      </c>
      <c r="Y232" s="161" t="s">
        <v>671</v>
      </c>
    </row>
    <row r="233" spans="5:25" ht="15">
      <c r="E233" s="79" t="s">
        <v>87</v>
      </c>
      <c r="F233" s="12">
        <v>801</v>
      </c>
      <c r="G233" s="17" t="s">
        <v>673</v>
      </c>
      <c r="H233" s="12">
        <f>200+716</f>
        <v>916</v>
      </c>
      <c r="I233" s="12" t="s">
        <v>287</v>
      </c>
      <c r="J233" s="12" t="s">
        <v>21</v>
      </c>
      <c r="K233" s="12" t="s">
        <v>501</v>
      </c>
      <c r="L233" s="133">
        <v>46231</v>
      </c>
      <c r="M233" s="18">
        <v>0.64583333333333337</v>
      </c>
      <c r="N233" s="133">
        <v>46231</v>
      </c>
      <c r="O233" s="18">
        <v>0.91666666666666663</v>
      </c>
      <c r="P233" s="133">
        <v>46231</v>
      </c>
      <c r="Q233" s="18">
        <v>0.98611111111111116</v>
      </c>
      <c r="R233" s="133">
        <v>46232</v>
      </c>
      <c r="S233" s="18">
        <v>5.5555555555555558E-3</v>
      </c>
      <c r="T233" s="12"/>
      <c r="U233" s="12">
        <v>0</v>
      </c>
      <c r="V233" s="12">
        <v>0</v>
      </c>
      <c r="W233" s="12">
        <v>0</v>
      </c>
      <c r="X233" s="84" t="s">
        <v>93</v>
      </c>
      <c r="Y233" s="163" t="s">
        <v>674</v>
      </c>
    </row>
    <row r="234" spans="5:25" ht="15">
      <c r="E234" s="79" t="s">
        <v>87</v>
      </c>
      <c r="F234" s="12">
        <v>802</v>
      </c>
      <c r="G234" s="17" t="s">
        <v>675</v>
      </c>
      <c r="H234" s="12">
        <v>677</v>
      </c>
      <c r="I234" s="12" t="s">
        <v>331</v>
      </c>
      <c r="J234" s="12" t="s">
        <v>21</v>
      </c>
      <c r="K234" s="12">
        <v>36</v>
      </c>
      <c r="L234" s="133">
        <v>46233</v>
      </c>
      <c r="M234" s="18">
        <v>9.0972222222222218E-2</v>
      </c>
      <c r="N234" s="133">
        <v>46233</v>
      </c>
      <c r="O234" s="18">
        <v>0.36875000000000002</v>
      </c>
      <c r="P234" s="133">
        <v>46233</v>
      </c>
      <c r="Q234" s="18">
        <v>0.41458333333333336</v>
      </c>
      <c r="R234" s="133">
        <v>46233</v>
      </c>
      <c r="S234" s="18">
        <v>0.44791666666666669</v>
      </c>
      <c r="T234" s="12"/>
      <c r="U234" s="12">
        <v>0</v>
      </c>
      <c r="V234" s="12">
        <v>0</v>
      </c>
      <c r="W234" s="12">
        <v>0</v>
      </c>
      <c r="X234" s="84" t="s">
        <v>676</v>
      </c>
      <c r="Y234" s="163" t="s">
        <v>677</v>
      </c>
    </row>
    <row r="235" spans="5:25" ht="15">
      <c r="E235" s="79" t="s">
        <v>87</v>
      </c>
      <c r="F235" s="12">
        <v>803</v>
      </c>
      <c r="G235" s="17" t="s">
        <v>678</v>
      </c>
      <c r="H235" s="12">
        <f>112+222</f>
        <v>334</v>
      </c>
      <c r="I235" s="12" t="s">
        <v>318</v>
      </c>
      <c r="J235" s="12" t="s">
        <v>21</v>
      </c>
      <c r="K235" s="12">
        <v>36</v>
      </c>
      <c r="L235" s="133">
        <v>46233</v>
      </c>
      <c r="M235" s="18">
        <v>0.79374999999999996</v>
      </c>
      <c r="N235" s="133">
        <v>46233</v>
      </c>
      <c r="O235" s="18">
        <v>0.95138888888888884</v>
      </c>
      <c r="P235" s="133">
        <v>46234</v>
      </c>
      <c r="Q235" s="18">
        <v>2.013888888888889E-2</v>
      </c>
      <c r="R235" s="133">
        <v>46234</v>
      </c>
      <c r="S235" s="18">
        <v>4.7222222222222221E-2</v>
      </c>
      <c r="T235" s="12"/>
      <c r="U235" s="12">
        <v>0</v>
      </c>
      <c r="V235" s="12">
        <v>0</v>
      </c>
      <c r="W235" s="12">
        <v>0</v>
      </c>
      <c r="X235" s="84" t="s">
        <v>676</v>
      </c>
      <c r="Y235" s="17" t="s">
        <v>681</v>
      </c>
    </row>
    <row r="236" spans="5:25" ht="15">
      <c r="E236" s="79" t="s">
        <v>87</v>
      </c>
      <c r="F236" s="12">
        <v>804</v>
      </c>
      <c r="G236" s="17" t="s">
        <v>680</v>
      </c>
      <c r="H236" s="12">
        <v>2214</v>
      </c>
      <c r="I236" s="12" t="s">
        <v>318</v>
      </c>
      <c r="J236" s="12" t="s">
        <v>21</v>
      </c>
      <c r="K236" s="12">
        <v>36</v>
      </c>
      <c r="L236" s="133">
        <v>46234</v>
      </c>
      <c r="M236" s="18">
        <v>0.4909722222222222</v>
      </c>
      <c r="N236" s="133">
        <v>46234</v>
      </c>
      <c r="O236" s="18">
        <v>0.78819444444444442</v>
      </c>
      <c r="P236" s="133">
        <v>46235</v>
      </c>
      <c r="Q236" s="18">
        <v>0.32847222222222222</v>
      </c>
      <c r="R236" s="133">
        <v>46235</v>
      </c>
      <c r="S236" s="18">
        <v>0.36805555555555558</v>
      </c>
      <c r="T236" s="12"/>
      <c r="U236" s="12">
        <v>0</v>
      </c>
      <c r="V236" s="12">
        <v>0</v>
      </c>
      <c r="W236" s="12">
        <v>1</v>
      </c>
      <c r="X236" s="84" t="s">
        <v>372</v>
      </c>
      <c r="Y236" s="17" t="s">
        <v>679</v>
      </c>
    </row>
    <row r="237" spans="5:25" ht="15">
      <c r="E237" s="79" t="s">
        <v>87</v>
      </c>
      <c r="F237" s="12">
        <v>805</v>
      </c>
      <c r="G237" s="17" t="s">
        <v>682</v>
      </c>
      <c r="H237" s="12">
        <v>2270</v>
      </c>
      <c r="I237" s="12" t="s">
        <v>285</v>
      </c>
      <c r="J237" s="12" t="s">
        <v>21</v>
      </c>
      <c r="K237" s="12">
        <v>37</v>
      </c>
      <c r="L237" s="133">
        <v>46235</v>
      </c>
      <c r="M237" s="18">
        <v>0.42083333333333334</v>
      </c>
      <c r="N237" s="133">
        <v>46235</v>
      </c>
      <c r="O237" s="18">
        <v>0.55972222222222223</v>
      </c>
      <c r="P237" s="133">
        <v>46236</v>
      </c>
      <c r="Q237" s="18">
        <v>0.1125</v>
      </c>
      <c r="R237" s="133">
        <v>46236</v>
      </c>
      <c r="S237" s="18">
        <v>0.14861111111111111</v>
      </c>
      <c r="T237" s="12"/>
      <c r="U237" s="12">
        <v>0</v>
      </c>
      <c r="V237" s="12">
        <v>0</v>
      </c>
      <c r="W237" s="12">
        <v>0</v>
      </c>
      <c r="X237" s="12" t="s">
        <v>372</v>
      </c>
      <c r="Y237" s="17"/>
    </row>
    <row r="238" spans="5:25" ht="15.75" thickBot="1">
      <c r="E238" s="75" t="s">
        <v>87</v>
      </c>
      <c r="F238" s="77">
        <v>806</v>
      </c>
      <c r="G238" s="76" t="s">
        <v>683</v>
      </c>
      <c r="H238" s="77">
        <v>2182</v>
      </c>
      <c r="I238" s="77" t="s">
        <v>331</v>
      </c>
      <c r="J238" s="77" t="s">
        <v>21</v>
      </c>
      <c r="K238" s="77">
        <v>36</v>
      </c>
      <c r="L238" s="147">
        <v>46236</v>
      </c>
      <c r="M238" s="46">
        <v>0.19930555555555557</v>
      </c>
      <c r="N238" s="147">
        <v>46236</v>
      </c>
      <c r="O238" s="46">
        <v>0.31388888888888888</v>
      </c>
      <c r="P238" s="147">
        <v>46236</v>
      </c>
      <c r="Q238" s="46">
        <v>0.84722222222222221</v>
      </c>
      <c r="R238" s="147">
        <v>46236</v>
      </c>
      <c r="S238" s="46">
        <v>0.88888888888888884</v>
      </c>
      <c r="T238" s="77"/>
      <c r="U238" s="77">
        <v>0</v>
      </c>
      <c r="V238" s="77">
        <v>1</v>
      </c>
      <c r="W238" s="77">
        <v>0</v>
      </c>
      <c r="X238" s="77" t="s">
        <v>372</v>
      </c>
      <c r="Y238" s="76" t="s">
        <v>684</v>
      </c>
    </row>
    <row r="239" spans="5:25" ht="15">
      <c r="E239" s="79" t="s">
        <v>94</v>
      </c>
      <c r="F239" s="19">
        <v>807</v>
      </c>
      <c r="G239" s="72" t="s">
        <v>685</v>
      </c>
      <c r="H239" s="19">
        <v>2141</v>
      </c>
      <c r="I239" s="19" t="s">
        <v>283</v>
      </c>
      <c r="J239" s="19" t="s">
        <v>21</v>
      </c>
      <c r="K239" s="19">
        <v>37</v>
      </c>
      <c r="L239" s="133">
        <v>46236</v>
      </c>
      <c r="M239" s="74">
        <v>0.47013888888888888</v>
      </c>
      <c r="N239" s="133">
        <v>46237</v>
      </c>
      <c r="O239" s="74">
        <v>6.9444444444444448E-2</v>
      </c>
      <c r="P239" s="133">
        <v>46237</v>
      </c>
      <c r="Q239" s="74">
        <v>0.61875000000000002</v>
      </c>
      <c r="R239" s="133">
        <v>46237</v>
      </c>
      <c r="S239" s="74">
        <v>0.65555555555555556</v>
      </c>
      <c r="T239" s="19"/>
      <c r="U239" s="19">
        <v>0</v>
      </c>
      <c r="V239" s="19">
        <v>0</v>
      </c>
      <c r="W239" s="19">
        <v>1</v>
      </c>
      <c r="X239" s="19" t="s">
        <v>372</v>
      </c>
      <c r="Y239" s="72" t="s">
        <v>686</v>
      </c>
    </row>
    <row r="240" spans="5:25" ht="15">
      <c r="E240" s="79" t="s">
        <v>94</v>
      </c>
      <c r="F240" s="12">
        <v>808</v>
      </c>
      <c r="G240" s="17" t="s">
        <v>688</v>
      </c>
      <c r="H240" s="12">
        <v>2275</v>
      </c>
      <c r="I240" s="12" t="s">
        <v>290</v>
      </c>
      <c r="J240" s="19" t="s">
        <v>21</v>
      </c>
      <c r="K240" s="19">
        <v>37</v>
      </c>
      <c r="L240" s="133">
        <v>46237</v>
      </c>
      <c r="M240" s="18">
        <v>0.69791666666666663</v>
      </c>
      <c r="N240" s="133">
        <v>46237</v>
      </c>
      <c r="O240" s="18">
        <v>0.80277777777777781</v>
      </c>
      <c r="P240" s="133">
        <v>46238</v>
      </c>
      <c r="Q240" s="18">
        <v>0.35694444444444445</v>
      </c>
      <c r="R240" s="133">
        <v>46238</v>
      </c>
      <c r="S240" s="18">
        <v>0.39652777777777776</v>
      </c>
      <c r="T240" s="12"/>
      <c r="U240" s="12">
        <v>0</v>
      </c>
      <c r="V240" s="12">
        <v>1</v>
      </c>
      <c r="W240" s="12">
        <v>0</v>
      </c>
      <c r="X240" s="12" t="s">
        <v>372</v>
      </c>
      <c r="Y240" s="17"/>
    </row>
    <row r="241" spans="5:25" ht="15">
      <c r="E241" s="79" t="s">
        <v>94</v>
      </c>
      <c r="F241" s="12">
        <v>809</v>
      </c>
      <c r="G241" s="17" t="s">
        <v>690</v>
      </c>
      <c r="H241" s="12">
        <v>2133</v>
      </c>
      <c r="I241" s="12" t="s">
        <v>318</v>
      </c>
      <c r="J241" s="19" t="s">
        <v>21</v>
      </c>
      <c r="K241" s="12">
        <v>37</v>
      </c>
      <c r="L241" s="133">
        <v>46238</v>
      </c>
      <c r="M241" s="18">
        <v>0.64583333333333337</v>
      </c>
      <c r="N241" s="133">
        <v>46238</v>
      </c>
      <c r="O241" s="18">
        <v>0.78611111111111109</v>
      </c>
      <c r="P241" s="133">
        <v>46239</v>
      </c>
      <c r="Q241" s="18">
        <v>0.19027777777777777</v>
      </c>
      <c r="R241" s="133">
        <v>46239</v>
      </c>
      <c r="S241" s="18">
        <v>0.24444444444444446</v>
      </c>
      <c r="T241" s="12"/>
      <c r="U241" s="12">
        <v>0</v>
      </c>
      <c r="V241" s="12">
        <v>0</v>
      </c>
      <c r="W241" s="12">
        <v>0</v>
      </c>
      <c r="X241" s="84" t="s">
        <v>526</v>
      </c>
      <c r="Y241" s="17" t="s">
        <v>689</v>
      </c>
    </row>
    <row r="242" spans="5:25" ht="15">
      <c r="E242" s="79" t="s">
        <v>94</v>
      </c>
      <c r="F242" s="12">
        <v>810</v>
      </c>
      <c r="G242" s="16" t="s">
        <v>691</v>
      </c>
      <c r="H242" s="12">
        <v>2240</v>
      </c>
      <c r="I242" s="12" t="s">
        <v>318</v>
      </c>
      <c r="J242" s="19" t="s">
        <v>21</v>
      </c>
      <c r="K242" s="12">
        <v>37</v>
      </c>
      <c r="L242" s="133">
        <v>46239</v>
      </c>
      <c r="M242" s="18">
        <v>0.62083333333333335</v>
      </c>
      <c r="N242" s="133">
        <v>46239</v>
      </c>
      <c r="O242" s="18">
        <v>0.69861111111111107</v>
      </c>
      <c r="P242" s="133">
        <v>46240</v>
      </c>
      <c r="Q242" s="18">
        <v>0.22222222222222221</v>
      </c>
      <c r="R242" s="133">
        <v>46240</v>
      </c>
      <c r="S242" s="18">
        <v>0.26458333333333334</v>
      </c>
      <c r="T242" s="12"/>
      <c r="U242" s="12">
        <v>0</v>
      </c>
      <c r="V242" s="12">
        <v>1</v>
      </c>
      <c r="W242" s="12">
        <v>0</v>
      </c>
      <c r="X242" s="12" t="s">
        <v>372</v>
      </c>
      <c r="Y242" s="17"/>
    </row>
    <row r="243" spans="5:25" ht="15.75" thickBot="1">
      <c r="E243" s="75" t="s">
        <v>94</v>
      </c>
      <c r="F243" s="77">
        <v>811</v>
      </c>
      <c r="G243" s="51" t="s">
        <v>692</v>
      </c>
      <c r="H243" s="77">
        <f>2140+300</f>
        <v>2440</v>
      </c>
      <c r="I243" s="77" t="s">
        <v>283</v>
      </c>
      <c r="J243" s="77" t="s">
        <v>21</v>
      </c>
      <c r="K243" s="77">
        <v>37</v>
      </c>
      <c r="L243" s="147">
        <v>46240</v>
      </c>
      <c r="M243" s="46">
        <v>0.41944444444444445</v>
      </c>
      <c r="N243" s="147">
        <v>46240</v>
      </c>
      <c r="O243" s="46">
        <v>0.64097222222222217</v>
      </c>
      <c r="P243" s="147">
        <v>46241</v>
      </c>
      <c r="Q243" s="46">
        <v>0.14930555555555555</v>
      </c>
      <c r="R243" s="147">
        <v>46241</v>
      </c>
      <c r="S243" s="46">
        <v>0.18402777777777779</v>
      </c>
      <c r="T243" s="77"/>
      <c r="U243" s="77">
        <v>0</v>
      </c>
      <c r="V243" s="77">
        <v>2</v>
      </c>
      <c r="W243" s="77">
        <v>0</v>
      </c>
      <c r="X243" s="77" t="s">
        <v>372</v>
      </c>
      <c r="Y243" s="76"/>
    </row>
    <row r="244" spans="5:25" ht="15">
      <c r="E244" s="79" t="s">
        <v>97</v>
      </c>
      <c r="F244" s="19">
        <v>812</v>
      </c>
      <c r="G244" s="72" t="s">
        <v>695</v>
      </c>
      <c r="H244" s="19">
        <v>1759</v>
      </c>
      <c r="I244" s="19" t="s">
        <v>308</v>
      </c>
      <c r="J244" s="19" t="s">
        <v>21</v>
      </c>
      <c r="K244" s="19">
        <v>37</v>
      </c>
      <c r="L244" s="133">
        <v>46251</v>
      </c>
      <c r="M244" s="74">
        <v>0.4</v>
      </c>
      <c r="N244" s="133">
        <v>46251</v>
      </c>
      <c r="O244" s="74">
        <v>0.60416666666666663</v>
      </c>
      <c r="P244" s="133">
        <v>46251</v>
      </c>
      <c r="Q244" s="74">
        <v>0.8354166666666667</v>
      </c>
      <c r="R244" s="133">
        <v>46251</v>
      </c>
      <c r="S244" s="74">
        <v>0.86805555555555558</v>
      </c>
      <c r="T244" s="19"/>
      <c r="U244" s="19">
        <v>0</v>
      </c>
      <c r="V244" s="19">
        <v>0</v>
      </c>
      <c r="W244" s="19">
        <v>0</v>
      </c>
      <c r="X244" s="100" t="s">
        <v>526</v>
      </c>
      <c r="Y244" s="72" t="s">
        <v>696</v>
      </c>
    </row>
    <row r="245" spans="5:25" ht="15">
      <c r="E245" s="79" t="s">
        <v>97</v>
      </c>
      <c r="F245" s="12">
        <v>813</v>
      </c>
      <c r="G245" s="17" t="s">
        <v>697</v>
      </c>
      <c r="H245" s="12">
        <v>2124</v>
      </c>
      <c r="I245" s="12" t="s">
        <v>287</v>
      </c>
      <c r="J245" s="19" t="s">
        <v>21</v>
      </c>
      <c r="K245" s="19">
        <v>36</v>
      </c>
      <c r="L245" s="133">
        <v>46252</v>
      </c>
      <c r="M245" s="18">
        <v>0.23958333333333334</v>
      </c>
      <c r="N245" s="133">
        <v>46252</v>
      </c>
      <c r="O245" s="18">
        <v>0.33333333333333331</v>
      </c>
      <c r="P245" s="133">
        <v>46252</v>
      </c>
      <c r="Q245" s="18">
        <v>0.85277777777777775</v>
      </c>
      <c r="R245" s="133">
        <v>46252</v>
      </c>
      <c r="S245" s="18">
        <v>0.89027777777777772</v>
      </c>
      <c r="T245" s="12"/>
      <c r="U245" s="12">
        <v>0</v>
      </c>
      <c r="V245" s="12">
        <v>0</v>
      </c>
      <c r="W245" s="12">
        <v>0</v>
      </c>
      <c r="X245" s="84" t="s">
        <v>372</v>
      </c>
      <c r="Y245" s="17" t="s">
        <v>698</v>
      </c>
    </row>
    <row r="246" spans="5:25" ht="15">
      <c r="E246" s="79" t="s">
        <v>97</v>
      </c>
      <c r="F246" s="12">
        <v>814</v>
      </c>
      <c r="G246" s="17" t="s">
        <v>699</v>
      </c>
      <c r="H246" s="12">
        <v>2127</v>
      </c>
      <c r="I246" s="12" t="s">
        <v>331</v>
      </c>
      <c r="J246" s="19" t="s">
        <v>21</v>
      </c>
      <c r="K246" s="19">
        <v>37</v>
      </c>
      <c r="L246" s="133">
        <v>46252</v>
      </c>
      <c r="M246" s="18">
        <v>0.98263888888888884</v>
      </c>
      <c r="N246" s="133">
        <v>46253</v>
      </c>
      <c r="O246" s="18">
        <v>0.1111111111111111</v>
      </c>
      <c r="P246" s="133">
        <v>46253</v>
      </c>
      <c r="Q246" s="18">
        <v>0.63124999999999998</v>
      </c>
      <c r="R246" s="133">
        <v>46253</v>
      </c>
      <c r="S246" s="18">
        <v>0.66388888888888886</v>
      </c>
      <c r="T246" s="12"/>
      <c r="U246" s="12">
        <v>0</v>
      </c>
      <c r="V246" s="12">
        <v>1</v>
      </c>
      <c r="W246" s="12">
        <v>1</v>
      </c>
      <c r="X246" s="12" t="s">
        <v>372</v>
      </c>
      <c r="Y246" s="17"/>
    </row>
    <row r="247" spans="5:25" ht="15">
      <c r="E247" s="79" t="s">
        <v>97</v>
      </c>
      <c r="F247" s="12">
        <v>815</v>
      </c>
      <c r="G247" s="17" t="s">
        <v>700</v>
      </c>
      <c r="H247" s="12">
        <v>2115</v>
      </c>
      <c r="I247" s="12" t="s">
        <v>290</v>
      </c>
      <c r="J247" s="19" t="s">
        <v>21</v>
      </c>
      <c r="K247" s="19">
        <v>36</v>
      </c>
      <c r="L247" s="133">
        <v>46253</v>
      </c>
      <c r="M247" s="18">
        <v>0.69444444444444442</v>
      </c>
      <c r="N247" s="133">
        <v>46253</v>
      </c>
      <c r="O247" s="18">
        <v>0.8125</v>
      </c>
      <c r="P247" s="133">
        <v>46254</v>
      </c>
      <c r="Q247" s="18">
        <v>0.3298611111111111</v>
      </c>
      <c r="R247" s="133">
        <v>46254</v>
      </c>
      <c r="S247" s="18">
        <v>0.36388888888888887</v>
      </c>
      <c r="T247" s="12"/>
      <c r="U247" s="12">
        <v>0</v>
      </c>
      <c r="V247" s="12">
        <v>2</v>
      </c>
      <c r="W247" s="12">
        <v>0</v>
      </c>
      <c r="X247" s="12" t="s">
        <v>372</v>
      </c>
      <c r="Y247" s="17" t="s">
        <v>702</v>
      </c>
    </row>
    <row r="248" spans="5:25" ht="15">
      <c r="E248" s="79" t="s">
        <v>97</v>
      </c>
      <c r="F248" s="12">
        <v>816</v>
      </c>
      <c r="G248" s="17" t="s">
        <v>701</v>
      </c>
      <c r="H248" s="12">
        <v>2232</v>
      </c>
      <c r="I248" s="12" t="s">
        <v>318</v>
      </c>
      <c r="J248" s="19" t="s">
        <v>21</v>
      </c>
      <c r="K248" s="19">
        <v>37</v>
      </c>
      <c r="L248" s="133">
        <v>46254</v>
      </c>
      <c r="M248" s="18">
        <v>0.5180555555555556</v>
      </c>
      <c r="N248" s="133">
        <v>46254</v>
      </c>
      <c r="O248" s="18">
        <v>0.62361111111111112</v>
      </c>
      <c r="P248" s="133">
        <v>46255</v>
      </c>
      <c r="Q248" s="18">
        <v>0.16805555555555557</v>
      </c>
      <c r="R248" s="133">
        <v>46255</v>
      </c>
      <c r="S248" s="18">
        <v>0.20694444444444443</v>
      </c>
      <c r="T248" s="12"/>
      <c r="U248" s="12">
        <v>0</v>
      </c>
      <c r="V248" s="12">
        <v>1</v>
      </c>
      <c r="W248" s="12">
        <v>0</v>
      </c>
      <c r="X248" s="12" t="s">
        <v>372</v>
      </c>
      <c r="Y248" s="17" t="s">
        <v>704</v>
      </c>
    </row>
    <row r="249" spans="5:25" ht="15.75" thickBot="1">
      <c r="E249" s="75" t="s">
        <v>97</v>
      </c>
      <c r="F249" s="77">
        <v>817</v>
      </c>
      <c r="G249" s="76" t="s">
        <v>703</v>
      </c>
      <c r="H249" s="77">
        <v>2124</v>
      </c>
      <c r="I249" s="77" t="s">
        <v>283</v>
      </c>
      <c r="J249" s="77" t="s">
        <v>21</v>
      </c>
      <c r="K249" s="77">
        <v>37</v>
      </c>
      <c r="L249" s="147">
        <v>46255</v>
      </c>
      <c r="M249" s="46">
        <v>0.2590277777777778</v>
      </c>
      <c r="N249" s="147">
        <v>46255</v>
      </c>
      <c r="O249" s="46">
        <v>0.37569444444444444</v>
      </c>
      <c r="P249" s="147">
        <v>46255</v>
      </c>
      <c r="Q249" s="46">
        <v>0.89513888888888893</v>
      </c>
      <c r="R249" s="147">
        <v>46255</v>
      </c>
      <c r="S249" s="46">
        <v>0.92777777777777781</v>
      </c>
      <c r="T249" s="77"/>
      <c r="U249" s="77">
        <v>0</v>
      </c>
      <c r="V249" s="77">
        <v>0</v>
      </c>
      <c r="W249" s="77">
        <v>0</v>
      </c>
      <c r="X249" s="77" t="s">
        <v>372</v>
      </c>
      <c r="Y249" s="76"/>
    </row>
    <row r="250" spans="5:25" ht="15">
      <c r="E250" s="79" t="s">
        <v>98</v>
      </c>
      <c r="F250" s="19">
        <v>818</v>
      </c>
      <c r="G250" s="72" t="s">
        <v>707</v>
      </c>
      <c r="H250" s="19">
        <v>2095</v>
      </c>
      <c r="I250" s="19" t="s">
        <v>287</v>
      </c>
      <c r="J250" s="19" t="s">
        <v>21</v>
      </c>
      <c r="K250" s="19">
        <v>37</v>
      </c>
      <c r="L250" s="133">
        <v>46258</v>
      </c>
      <c r="M250" s="74">
        <v>0.3888888888888889</v>
      </c>
      <c r="N250" s="133">
        <v>46258</v>
      </c>
      <c r="O250" s="74">
        <v>0.45833333333333331</v>
      </c>
      <c r="P250" s="133">
        <v>46258</v>
      </c>
      <c r="Q250" s="74">
        <v>0.99930555555555556</v>
      </c>
      <c r="R250" s="133">
        <v>46259</v>
      </c>
      <c r="S250" s="74">
        <v>6.458333333333334E-2</v>
      </c>
      <c r="T250" s="19"/>
      <c r="U250" s="19">
        <v>0</v>
      </c>
      <c r="V250" s="19">
        <v>2</v>
      </c>
      <c r="W250" s="19">
        <v>0</v>
      </c>
      <c r="X250" s="19" t="s">
        <v>372</v>
      </c>
      <c r="Y250" s="72" t="s">
        <v>706</v>
      </c>
    </row>
    <row r="251" spans="5:25" ht="15">
      <c r="E251" s="79" t="s">
        <v>98</v>
      </c>
      <c r="F251" s="12">
        <v>819</v>
      </c>
      <c r="G251" s="17" t="s">
        <v>708</v>
      </c>
      <c r="H251" s="12">
        <v>2141</v>
      </c>
      <c r="I251" s="12" t="s">
        <v>308</v>
      </c>
      <c r="J251" s="19" t="s">
        <v>21</v>
      </c>
      <c r="K251" s="19">
        <v>36</v>
      </c>
      <c r="L251" s="133">
        <v>46259</v>
      </c>
      <c r="M251" s="18">
        <v>0.13194444444444445</v>
      </c>
      <c r="N251" s="133">
        <v>46259</v>
      </c>
      <c r="O251" s="18">
        <v>0.24652777777777779</v>
      </c>
      <c r="P251" s="133">
        <v>46259</v>
      </c>
      <c r="Q251" s="18">
        <v>0.58819444444444446</v>
      </c>
      <c r="R251" s="133">
        <v>46259</v>
      </c>
      <c r="S251" s="18">
        <v>0.6020833333333333</v>
      </c>
      <c r="T251" s="12"/>
      <c r="U251" s="12">
        <v>0</v>
      </c>
      <c r="V251" s="12">
        <v>0</v>
      </c>
      <c r="W251" s="12">
        <v>0</v>
      </c>
      <c r="X251" s="19" t="s">
        <v>372</v>
      </c>
      <c r="Y251" s="17" t="s">
        <v>709</v>
      </c>
    </row>
    <row r="252" spans="5:25" ht="15">
      <c r="E252" s="79" t="s">
        <v>98</v>
      </c>
      <c r="F252" s="12">
        <v>820</v>
      </c>
      <c r="G252" s="17" t="s">
        <v>710</v>
      </c>
      <c r="H252" s="12">
        <v>1694</v>
      </c>
      <c r="I252" s="12" t="s">
        <v>308</v>
      </c>
      <c r="J252" s="19" t="s">
        <v>624</v>
      </c>
      <c r="K252" s="12">
        <v>45</v>
      </c>
      <c r="L252" s="133">
        <v>46259</v>
      </c>
      <c r="M252" s="18">
        <v>0.67013888888888884</v>
      </c>
      <c r="N252" s="133">
        <v>46259</v>
      </c>
      <c r="O252" s="18">
        <v>0.70277777777777772</v>
      </c>
      <c r="P252" s="133">
        <v>46260</v>
      </c>
      <c r="Q252" s="18">
        <v>0.20555555555555555</v>
      </c>
      <c r="R252" s="133">
        <v>46260</v>
      </c>
      <c r="S252" s="18">
        <v>0.2361111111111111</v>
      </c>
      <c r="T252" s="12"/>
      <c r="U252" s="12">
        <v>0</v>
      </c>
      <c r="V252" s="12">
        <v>0</v>
      </c>
      <c r="W252" s="12">
        <v>0</v>
      </c>
      <c r="X252" s="19" t="s">
        <v>372</v>
      </c>
      <c r="Y252" s="17" t="s">
        <v>711</v>
      </c>
    </row>
    <row r="253" spans="5:25" ht="15">
      <c r="E253" s="79" t="s">
        <v>98</v>
      </c>
      <c r="F253" s="12">
        <v>821</v>
      </c>
      <c r="G253" s="17" t="s">
        <v>714</v>
      </c>
      <c r="H253" s="12">
        <v>2051</v>
      </c>
      <c r="I253" s="12" t="s">
        <v>318</v>
      </c>
      <c r="J253" s="19" t="s">
        <v>713</v>
      </c>
      <c r="K253" s="12" t="s">
        <v>712</v>
      </c>
      <c r="L253" s="133">
        <v>46260</v>
      </c>
      <c r="M253" s="18">
        <v>0.32569444444444445</v>
      </c>
      <c r="N253" s="133">
        <v>46260</v>
      </c>
      <c r="O253" s="18">
        <v>0.48680555555555555</v>
      </c>
      <c r="P253" s="133">
        <v>46260</v>
      </c>
      <c r="Q253" s="18">
        <v>0.99375000000000002</v>
      </c>
      <c r="R253" s="133">
        <v>46261</v>
      </c>
      <c r="S253" s="18">
        <v>2.5694444444444443E-2</v>
      </c>
      <c r="T253" s="12"/>
      <c r="U253" s="12">
        <v>0</v>
      </c>
      <c r="V253" s="12">
        <v>1</v>
      </c>
      <c r="W253" s="12">
        <v>0</v>
      </c>
      <c r="X253" s="19" t="s">
        <v>372</v>
      </c>
      <c r="Y253" s="17"/>
    </row>
    <row r="254" spans="5:25" ht="28.5">
      <c r="E254" s="79" t="s">
        <v>98</v>
      </c>
      <c r="F254" s="12">
        <v>822</v>
      </c>
      <c r="G254" s="17" t="s">
        <v>715</v>
      </c>
      <c r="H254" s="12">
        <v>1986</v>
      </c>
      <c r="I254" s="12" t="s">
        <v>716</v>
      </c>
      <c r="J254" s="19" t="s">
        <v>624</v>
      </c>
      <c r="K254" s="12">
        <v>45</v>
      </c>
      <c r="L254" s="133">
        <v>46261</v>
      </c>
      <c r="M254" s="18">
        <v>7.7777777777777779E-2</v>
      </c>
      <c r="N254" s="133">
        <v>46261</v>
      </c>
      <c r="O254" s="18">
        <v>0.18472222222222223</v>
      </c>
      <c r="P254" s="133">
        <v>46261</v>
      </c>
      <c r="Q254" s="18">
        <v>0.67222222222222228</v>
      </c>
      <c r="R254" s="133">
        <v>46261</v>
      </c>
      <c r="S254" s="18">
        <v>0.72222222222222221</v>
      </c>
      <c r="T254" s="12"/>
      <c r="U254" s="12">
        <v>0</v>
      </c>
      <c r="V254" s="12">
        <v>1</v>
      </c>
      <c r="W254" s="12">
        <v>0</v>
      </c>
      <c r="X254" s="19" t="s">
        <v>372</v>
      </c>
      <c r="Y254" s="17" t="s">
        <v>717</v>
      </c>
    </row>
    <row r="255" spans="5:25" ht="15">
      <c r="E255" s="79" t="s">
        <v>98</v>
      </c>
      <c r="F255" s="12">
        <v>823</v>
      </c>
      <c r="G255" s="17" t="s">
        <v>718</v>
      </c>
      <c r="H255" s="12">
        <v>1000</v>
      </c>
      <c r="I255" s="12" t="s">
        <v>287</v>
      </c>
      <c r="J255" s="19" t="s">
        <v>21</v>
      </c>
      <c r="K255" s="19">
        <v>37</v>
      </c>
      <c r="L255" s="133">
        <v>46261</v>
      </c>
      <c r="M255" s="18">
        <v>0.89583333333333337</v>
      </c>
      <c r="N255" s="133">
        <v>46261</v>
      </c>
      <c r="O255" s="18">
        <v>0.96319444444444446</v>
      </c>
      <c r="P255" s="133">
        <v>46262</v>
      </c>
      <c r="Q255" s="18">
        <v>0.22222222222222221</v>
      </c>
      <c r="R255" s="133">
        <v>46262</v>
      </c>
      <c r="S255" s="18">
        <v>0.27361111111111114</v>
      </c>
      <c r="T255" s="12"/>
      <c r="U255" s="12">
        <v>0</v>
      </c>
      <c r="V255" s="12">
        <v>3</v>
      </c>
      <c r="W255" s="12">
        <v>0</v>
      </c>
      <c r="X255" s="19" t="s">
        <v>372</v>
      </c>
      <c r="Y255" s="17"/>
    </row>
    <row r="256" spans="5:25" ht="15.75" thickBot="1">
      <c r="E256" s="75" t="s">
        <v>98</v>
      </c>
      <c r="F256" s="77">
        <v>824</v>
      </c>
      <c r="G256" s="76" t="s">
        <v>719</v>
      </c>
      <c r="H256" s="77">
        <v>1864</v>
      </c>
      <c r="I256" s="77" t="s">
        <v>721</v>
      </c>
      <c r="J256" s="77" t="s">
        <v>21</v>
      </c>
      <c r="K256" s="77">
        <v>37</v>
      </c>
      <c r="L256" s="147">
        <v>46262</v>
      </c>
      <c r="M256" s="46">
        <v>0.30833333333333335</v>
      </c>
      <c r="N256" s="147">
        <v>46262</v>
      </c>
      <c r="O256" s="46">
        <v>0.42222222222222222</v>
      </c>
      <c r="P256" s="147">
        <v>46262</v>
      </c>
      <c r="Q256" s="46">
        <v>0.94722222222222219</v>
      </c>
      <c r="R256" s="147">
        <v>46262</v>
      </c>
      <c r="S256" s="46">
        <v>0.97013888888888888</v>
      </c>
      <c r="T256" s="77"/>
      <c r="U256" s="77">
        <v>0</v>
      </c>
      <c r="V256" s="77">
        <v>1</v>
      </c>
      <c r="W256" s="77">
        <v>0</v>
      </c>
      <c r="X256" s="77" t="s">
        <v>372</v>
      </c>
      <c r="Y256" s="76"/>
    </row>
    <row r="257" spans="5:25" ht="15">
      <c r="E257" s="79" t="s">
        <v>720</v>
      </c>
      <c r="F257" s="19">
        <v>825</v>
      </c>
      <c r="G257" s="72" t="s">
        <v>724</v>
      </c>
      <c r="H257" s="19">
        <v>336</v>
      </c>
      <c r="I257" s="19" t="s">
        <v>721</v>
      </c>
      <c r="J257" s="19" t="s">
        <v>21</v>
      </c>
      <c r="K257" s="19">
        <v>36</v>
      </c>
      <c r="L257" s="133">
        <v>46265</v>
      </c>
      <c r="M257" s="18">
        <v>0.60972222222222228</v>
      </c>
      <c r="N257" s="133">
        <v>46265</v>
      </c>
      <c r="O257" s="18">
        <v>0.72916666666666663</v>
      </c>
      <c r="P257" s="133">
        <v>46265</v>
      </c>
      <c r="Q257" s="18">
        <v>0.83472222222222225</v>
      </c>
      <c r="R257" s="133">
        <v>46265</v>
      </c>
      <c r="S257" s="105">
        <v>0.87152777777777779</v>
      </c>
      <c r="T257" s="19"/>
      <c r="U257" s="19">
        <v>0</v>
      </c>
      <c r="V257" s="19">
        <v>0</v>
      </c>
      <c r="W257" s="19">
        <v>0</v>
      </c>
      <c r="X257" s="184" t="s">
        <v>722</v>
      </c>
      <c r="Y257" s="72" t="s">
        <v>723</v>
      </c>
    </row>
    <row r="258" spans="5:25" ht="28.5">
      <c r="E258" s="79" t="s">
        <v>720</v>
      </c>
      <c r="F258" s="19">
        <v>826</v>
      </c>
      <c r="G258" s="17" t="s">
        <v>730</v>
      </c>
      <c r="H258" s="12">
        <v>2111</v>
      </c>
      <c r="I258" s="12" t="s">
        <v>727</v>
      </c>
      <c r="J258" s="19" t="s">
        <v>713</v>
      </c>
      <c r="K258" s="12" t="s">
        <v>728</v>
      </c>
      <c r="L258" s="133">
        <v>46266</v>
      </c>
      <c r="M258" s="18">
        <v>0.20833333333333334</v>
      </c>
      <c r="N258" s="133">
        <v>46266</v>
      </c>
      <c r="O258" s="18">
        <v>0.31805555555555554</v>
      </c>
      <c r="P258" s="133">
        <v>46266</v>
      </c>
      <c r="Q258" s="18">
        <v>0.80694444444444446</v>
      </c>
      <c r="R258" s="133">
        <v>46266</v>
      </c>
      <c r="S258" s="74">
        <v>0.84097222222222223</v>
      </c>
      <c r="T258" s="12"/>
      <c r="U258" s="12">
        <v>0</v>
      </c>
      <c r="V258" s="12">
        <v>0</v>
      </c>
      <c r="W258" s="12">
        <v>0</v>
      </c>
      <c r="X258" s="12" t="s">
        <v>372</v>
      </c>
      <c r="Y258" s="98" t="s">
        <v>726</v>
      </c>
    </row>
    <row r="259" spans="5:25" ht="28.5">
      <c r="E259" s="79" t="s">
        <v>720</v>
      </c>
      <c r="F259" s="19">
        <v>827</v>
      </c>
      <c r="G259" s="17" t="s">
        <v>729</v>
      </c>
      <c r="H259" s="12">
        <v>2704</v>
      </c>
      <c r="I259" s="12" t="s">
        <v>318</v>
      </c>
      <c r="J259" s="19" t="s">
        <v>624</v>
      </c>
      <c r="K259" s="12" t="s">
        <v>731</v>
      </c>
      <c r="L259" s="133">
        <v>46266</v>
      </c>
      <c r="M259" s="18">
        <v>0.93263888888888891</v>
      </c>
      <c r="N259" s="133">
        <v>46267</v>
      </c>
      <c r="O259" s="18">
        <v>4.027777777777778E-2</v>
      </c>
      <c r="P259" s="133">
        <v>46267</v>
      </c>
      <c r="Q259" s="18">
        <v>0.69374999999999998</v>
      </c>
      <c r="R259" s="133">
        <v>46267</v>
      </c>
      <c r="S259" s="74">
        <v>0.72847222222222219</v>
      </c>
      <c r="T259" s="12"/>
      <c r="U259" s="12">
        <v>0</v>
      </c>
      <c r="V259" s="12">
        <v>0</v>
      </c>
      <c r="W259" s="12">
        <v>0</v>
      </c>
      <c r="X259" s="12" t="s">
        <v>372</v>
      </c>
      <c r="Y259" s="17" t="s">
        <v>733</v>
      </c>
    </row>
    <row r="260" spans="5:25" ht="15">
      <c r="E260" s="79" t="s">
        <v>720</v>
      </c>
      <c r="F260" s="19">
        <v>828</v>
      </c>
      <c r="G260" s="17" t="s">
        <v>732</v>
      </c>
      <c r="H260" s="12">
        <v>800</v>
      </c>
      <c r="I260" s="12" t="s">
        <v>308</v>
      </c>
      <c r="J260" s="19" t="s">
        <v>624</v>
      </c>
      <c r="K260" s="12" t="s">
        <v>731</v>
      </c>
      <c r="L260" s="133">
        <v>46267</v>
      </c>
      <c r="M260" s="18">
        <v>0.7729166666666667</v>
      </c>
      <c r="N260" s="133">
        <v>46267</v>
      </c>
      <c r="O260" s="18">
        <v>0.88263888888888886</v>
      </c>
      <c r="P260" s="133">
        <v>46268</v>
      </c>
      <c r="Q260" s="18">
        <v>9.583333333333334E-2</v>
      </c>
      <c r="R260" s="133">
        <v>46268</v>
      </c>
      <c r="S260" s="18">
        <v>0.13750000000000001</v>
      </c>
      <c r="T260" s="12"/>
      <c r="U260" s="12">
        <v>0</v>
      </c>
      <c r="V260" s="12">
        <v>0</v>
      </c>
      <c r="W260" s="12">
        <v>0</v>
      </c>
      <c r="X260" s="12" t="s">
        <v>372</v>
      </c>
      <c r="Y260" s="17" t="s">
        <v>734</v>
      </c>
    </row>
    <row r="261" spans="5:25" ht="15">
      <c r="E261" s="79" t="s">
        <v>720</v>
      </c>
      <c r="F261" s="19">
        <v>829</v>
      </c>
      <c r="G261" s="17" t="s">
        <v>735</v>
      </c>
      <c r="H261" s="12">
        <v>1060</v>
      </c>
      <c r="I261" s="12" t="s">
        <v>283</v>
      </c>
      <c r="J261" s="19" t="s">
        <v>21</v>
      </c>
      <c r="K261" s="19">
        <v>37</v>
      </c>
      <c r="L261" s="133">
        <v>46268</v>
      </c>
      <c r="M261" s="18">
        <v>0.1736111111111111</v>
      </c>
      <c r="N261" s="133">
        <v>46268</v>
      </c>
      <c r="O261" s="18">
        <v>0.31736111111111109</v>
      </c>
      <c r="P261" s="133">
        <v>46268</v>
      </c>
      <c r="Q261" s="18">
        <v>0.78125</v>
      </c>
      <c r="R261" s="133">
        <v>46268</v>
      </c>
      <c r="S261" s="18">
        <v>0.79722222222222228</v>
      </c>
      <c r="T261" s="12"/>
      <c r="U261" s="12">
        <v>0</v>
      </c>
      <c r="V261" s="12">
        <v>0</v>
      </c>
      <c r="W261" s="12">
        <v>0</v>
      </c>
      <c r="X261" s="12" t="s">
        <v>372</v>
      </c>
      <c r="Y261" s="17" t="s">
        <v>734</v>
      </c>
    </row>
    <row r="262" spans="5:25" ht="15">
      <c r="E262" s="79" t="s">
        <v>720</v>
      </c>
      <c r="F262" s="19">
        <v>830</v>
      </c>
      <c r="G262" s="17" t="s">
        <v>736</v>
      </c>
      <c r="H262" s="12">
        <v>2186</v>
      </c>
      <c r="I262" s="12" t="s">
        <v>308</v>
      </c>
      <c r="J262" s="19" t="s">
        <v>624</v>
      </c>
      <c r="K262" s="12" t="s">
        <v>737</v>
      </c>
      <c r="L262" s="133">
        <v>46268</v>
      </c>
      <c r="M262" s="18">
        <v>0.89027777777777772</v>
      </c>
      <c r="N262" s="133">
        <v>46268</v>
      </c>
      <c r="O262" s="18">
        <v>0.99722222222222223</v>
      </c>
      <c r="P262" s="133">
        <v>46269</v>
      </c>
      <c r="Q262" s="18">
        <v>0.53125</v>
      </c>
      <c r="R262" s="133">
        <v>46269</v>
      </c>
      <c r="S262" s="18">
        <v>0.57430555555555551</v>
      </c>
      <c r="T262" s="12"/>
      <c r="U262" s="12">
        <v>0</v>
      </c>
      <c r="V262" s="12">
        <v>0</v>
      </c>
      <c r="W262" s="12">
        <v>0</v>
      </c>
      <c r="X262" s="12" t="s">
        <v>372</v>
      </c>
      <c r="Y262" s="17" t="s">
        <v>743</v>
      </c>
    </row>
    <row r="263" spans="5:25" ht="15.75" thickBot="1">
      <c r="E263" s="75" t="s">
        <v>720</v>
      </c>
      <c r="F263" s="77">
        <v>831</v>
      </c>
      <c r="G263" s="76" t="s">
        <v>739</v>
      </c>
      <c r="H263" s="77">
        <v>1423</v>
      </c>
      <c r="I263" s="77" t="s">
        <v>287</v>
      </c>
      <c r="J263" s="77" t="s">
        <v>624</v>
      </c>
      <c r="K263" s="77" t="s">
        <v>740</v>
      </c>
      <c r="L263" s="147">
        <v>46269</v>
      </c>
      <c r="M263" s="46">
        <v>0.70972222222222225</v>
      </c>
      <c r="N263" s="147">
        <v>46269</v>
      </c>
      <c r="O263" s="46">
        <v>0.81666666666666665</v>
      </c>
      <c r="P263" s="147">
        <v>46270</v>
      </c>
      <c r="Q263" s="46">
        <v>9.7222222222222224E-2</v>
      </c>
      <c r="R263" s="147">
        <v>46270</v>
      </c>
      <c r="S263" s="46">
        <v>0.1388888888888889</v>
      </c>
      <c r="T263" s="77"/>
      <c r="U263" s="77">
        <v>0</v>
      </c>
      <c r="V263" s="77">
        <v>0</v>
      </c>
      <c r="W263" s="77">
        <v>0</v>
      </c>
      <c r="X263" s="77" t="s">
        <v>372</v>
      </c>
      <c r="Y263" s="76" t="s">
        <v>741</v>
      </c>
    </row>
    <row r="264" spans="5:25" ht="21.75" customHeight="1">
      <c r="E264" s="79" t="s">
        <v>738</v>
      </c>
      <c r="F264" s="19">
        <v>832</v>
      </c>
      <c r="G264" s="72" t="s">
        <v>744</v>
      </c>
      <c r="H264" s="19">
        <f>1423+873</f>
        <v>2296</v>
      </c>
      <c r="I264" s="19" t="s">
        <v>290</v>
      </c>
      <c r="J264" s="109" t="s">
        <v>624</v>
      </c>
      <c r="K264" s="109" t="s">
        <v>740</v>
      </c>
      <c r="L264" s="186">
        <v>46272</v>
      </c>
      <c r="M264" s="178">
        <v>0.38333333333333336</v>
      </c>
      <c r="N264" s="186">
        <v>46272</v>
      </c>
      <c r="O264" s="178">
        <v>0.67777777777777781</v>
      </c>
      <c r="P264" s="186">
        <v>46273</v>
      </c>
      <c r="Q264" s="74">
        <v>0.23749999999999999</v>
      </c>
      <c r="R264" s="185">
        <v>46273</v>
      </c>
      <c r="S264" s="74">
        <v>0.27430555555555558</v>
      </c>
      <c r="T264" s="19"/>
      <c r="U264" s="12">
        <v>0</v>
      </c>
      <c r="V264" s="12">
        <v>0</v>
      </c>
      <c r="W264" s="12">
        <v>0</v>
      </c>
      <c r="X264" s="19" t="s">
        <v>372</v>
      </c>
      <c r="Y264" s="72" t="s">
        <v>340</v>
      </c>
    </row>
    <row r="265" spans="5:25" ht="21.75" customHeight="1">
      <c r="E265" s="79" t="s">
        <v>738</v>
      </c>
      <c r="F265" s="19">
        <v>833</v>
      </c>
      <c r="G265" s="17" t="s">
        <v>745</v>
      </c>
      <c r="H265" s="12">
        <v>300</v>
      </c>
      <c r="I265" s="12" t="s">
        <v>287</v>
      </c>
      <c r="J265" s="19" t="s">
        <v>21</v>
      </c>
      <c r="K265" s="19">
        <v>37.6</v>
      </c>
      <c r="L265" s="142">
        <v>46273</v>
      </c>
      <c r="M265" s="18">
        <v>0.35625000000000001</v>
      </c>
      <c r="N265" s="142">
        <v>46273</v>
      </c>
      <c r="O265" s="18">
        <v>0.59652777777777777</v>
      </c>
      <c r="P265" s="142">
        <v>46273</v>
      </c>
      <c r="Q265" s="18">
        <v>0.6958333333333333</v>
      </c>
      <c r="R265" s="133">
        <v>46273</v>
      </c>
      <c r="S265" s="18">
        <v>0.74444444444444446</v>
      </c>
      <c r="T265" s="12"/>
      <c r="U265" s="12">
        <v>0</v>
      </c>
      <c r="V265" s="12">
        <v>0</v>
      </c>
      <c r="W265" s="12">
        <v>0</v>
      </c>
      <c r="X265" s="184" t="s">
        <v>746</v>
      </c>
      <c r="Y265" s="17" t="s">
        <v>753</v>
      </c>
    </row>
    <row r="266" spans="5:25" ht="21.75" customHeight="1">
      <c r="E266" s="79" t="s">
        <v>738</v>
      </c>
      <c r="F266" s="19">
        <v>834</v>
      </c>
      <c r="G266" s="17" t="s">
        <v>747</v>
      </c>
      <c r="H266" s="12">
        <v>1734</v>
      </c>
      <c r="I266" s="12" t="s">
        <v>297</v>
      </c>
      <c r="J266" s="19" t="s">
        <v>624</v>
      </c>
      <c r="K266" s="12" t="s">
        <v>748</v>
      </c>
      <c r="L266" s="142">
        <v>46274</v>
      </c>
      <c r="M266" s="18">
        <v>3.4722222222222224E-2</v>
      </c>
      <c r="N266" s="142">
        <v>46274</v>
      </c>
      <c r="O266" s="18">
        <v>0.14097222222222222</v>
      </c>
      <c r="P266" s="142">
        <v>46274</v>
      </c>
      <c r="Q266" s="18">
        <v>0.57152777777777775</v>
      </c>
      <c r="R266" s="142">
        <v>46274</v>
      </c>
      <c r="S266" s="18">
        <v>0.60555555555555551</v>
      </c>
      <c r="T266" s="12"/>
      <c r="U266" s="12">
        <v>0</v>
      </c>
      <c r="V266" s="12">
        <v>0</v>
      </c>
      <c r="W266" s="12">
        <v>0</v>
      </c>
      <c r="X266" s="12" t="s">
        <v>372</v>
      </c>
      <c r="Y266" s="17" t="s">
        <v>752</v>
      </c>
    </row>
    <row r="267" spans="5:25" ht="21.75" customHeight="1">
      <c r="E267" s="79" t="s">
        <v>738</v>
      </c>
      <c r="F267" s="19">
        <v>835</v>
      </c>
      <c r="G267" s="17" t="s">
        <v>749</v>
      </c>
      <c r="H267" s="12">
        <f>660+1335</f>
        <v>1995</v>
      </c>
      <c r="I267" s="12" t="s">
        <v>285</v>
      </c>
      <c r="J267" s="19" t="s">
        <v>750</v>
      </c>
      <c r="K267" s="12" t="s">
        <v>751</v>
      </c>
      <c r="L267" s="142">
        <v>46274</v>
      </c>
      <c r="M267" s="18">
        <v>0.63541666666666663</v>
      </c>
      <c r="N267" s="142">
        <v>46274</v>
      </c>
      <c r="O267" s="18">
        <v>0.85486111111111107</v>
      </c>
      <c r="P267" s="142">
        <v>46275</v>
      </c>
      <c r="Q267" s="18">
        <v>0.34444444444444444</v>
      </c>
      <c r="R267" s="142">
        <v>46275</v>
      </c>
      <c r="S267" s="18">
        <v>0.37708333333333338</v>
      </c>
      <c r="T267" s="12"/>
      <c r="U267" s="12">
        <v>0</v>
      </c>
      <c r="V267" s="12">
        <v>0</v>
      </c>
      <c r="W267" s="12">
        <v>0</v>
      </c>
      <c r="X267" s="12" t="s">
        <v>372</v>
      </c>
      <c r="Y267" s="17" t="s">
        <v>755</v>
      </c>
    </row>
    <row r="268" spans="5:25" ht="21.75" customHeight="1">
      <c r="E268" s="79" t="s">
        <v>738</v>
      </c>
      <c r="F268" s="19">
        <v>836</v>
      </c>
      <c r="G268" s="17" t="s">
        <v>754</v>
      </c>
      <c r="H268" s="12">
        <f>300+139+20+40+40</f>
        <v>539</v>
      </c>
      <c r="I268" s="12" t="s">
        <v>318</v>
      </c>
      <c r="J268" s="19" t="s">
        <v>21</v>
      </c>
      <c r="K268" s="19">
        <v>37</v>
      </c>
      <c r="L268" s="142">
        <v>46275</v>
      </c>
      <c r="M268" s="18">
        <v>0.43402777777777779</v>
      </c>
      <c r="N268" s="142">
        <v>46275</v>
      </c>
      <c r="O268" s="18">
        <v>0.56041666666666667</v>
      </c>
      <c r="P268" s="142">
        <v>46275</v>
      </c>
      <c r="Q268" s="18">
        <v>0.66666666666666663</v>
      </c>
      <c r="R268" s="142">
        <v>46275</v>
      </c>
      <c r="S268" s="18">
        <v>0.69722222222222219</v>
      </c>
      <c r="T268" s="12"/>
      <c r="U268" s="12">
        <v>0</v>
      </c>
      <c r="V268" s="12">
        <v>0</v>
      </c>
      <c r="W268" s="12">
        <v>0</v>
      </c>
      <c r="X268" s="12" t="s">
        <v>372</v>
      </c>
      <c r="Y268" s="187" t="s">
        <v>758</v>
      </c>
    </row>
    <row r="269" spans="5:25" ht="21.75" customHeight="1">
      <c r="E269" s="79" t="s">
        <v>738</v>
      </c>
      <c r="F269" s="19">
        <v>837</v>
      </c>
      <c r="G269" s="17" t="s">
        <v>756</v>
      </c>
      <c r="H269" s="12">
        <v>1961</v>
      </c>
      <c r="I269" s="12" t="s">
        <v>287</v>
      </c>
      <c r="J269" s="19" t="s">
        <v>624</v>
      </c>
      <c r="K269" s="12" t="s">
        <v>757</v>
      </c>
      <c r="L269" s="142">
        <v>46275</v>
      </c>
      <c r="M269" s="18">
        <v>0.7583333333333333</v>
      </c>
      <c r="N269" s="142">
        <v>46275</v>
      </c>
      <c r="O269" s="18">
        <v>0.87222222222222223</v>
      </c>
      <c r="P269" s="142">
        <v>46276</v>
      </c>
      <c r="Q269" s="18">
        <v>0.35416666666666669</v>
      </c>
      <c r="R269" s="142">
        <v>46276</v>
      </c>
      <c r="S269" s="18">
        <v>0.38750000000000001</v>
      </c>
      <c r="T269" s="12"/>
      <c r="U269" s="12">
        <v>0</v>
      </c>
      <c r="V269" s="12">
        <v>0</v>
      </c>
      <c r="W269" s="12">
        <v>0</v>
      </c>
      <c r="X269" s="12" t="s">
        <v>372</v>
      </c>
      <c r="Y269" s="17"/>
    </row>
    <row r="270" spans="5:25" ht="21.75" customHeight="1" thickBot="1">
      <c r="E270" s="75" t="s">
        <v>738</v>
      </c>
      <c r="F270" s="77">
        <v>838</v>
      </c>
      <c r="G270" s="76" t="s">
        <v>759</v>
      </c>
      <c r="H270" s="77">
        <v>1043</v>
      </c>
      <c r="I270" s="77" t="s">
        <v>716</v>
      </c>
      <c r="J270" s="77" t="s">
        <v>761</v>
      </c>
      <c r="K270" s="77" t="s">
        <v>762</v>
      </c>
      <c r="L270" s="147">
        <v>46276</v>
      </c>
      <c r="M270" s="46">
        <v>0.46180555555555558</v>
      </c>
      <c r="N270" s="147">
        <v>46276</v>
      </c>
      <c r="O270" s="46">
        <v>0.56805555555555554</v>
      </c>
      <c r="P270" s="147">
        <v>46276</v>
      </c>
      <c r="Q270" s="46">
        <v>0.83680555555555558</v>
      </c>
      <c r="R270" s="147">
        <v>46276</v>
      </c>
      <c r="S270" s="46">
        <v>0.87986111111111109</v>
      </c>
      <c r="T270" s="77"/>
      <c r="U270" s="77">
        <v>0</v>
      </c>
      <c r="V270" s="77">
        <v>0</v>
      </c>
      <c r="W270" s="77">
        <v>0</v>
      </c>
      <c r="X270" s="77" t="s">
        <v>372</v>
      </c>
      <c r="Y270" s="76" t="s">
        <v>763</v>
      </c>
    </row>
    <row r="271" spans="5:25" ht="21.75" customHeight="1">
      <c r="E271" s="79" t="s">
        <v>760</v>
      </c>
      <c r="F271" s="19">
        <v>839</v>
      </c>
      <c r="G271" s="72" t="s">
        <v>764</v>
      </c>
      <c r="H271" s="19">
        <v>600</v>
      </c>
      <c r="I271" s="19" t="s">
        <v>283</v>
      </c>
      <c r="J271" s="19" t="s">
        <v>21</v>
      </c>
      <c r="K271" s="19">
        <v>37</v>
      </c>
      <c r="L271" s="80">
        <v>46279</v>
      </c>
      <c r="M271" s="74">
        <v>0.46597222222222223</v>
      </c>
      <c r="N271" s="80">
        <v>46279</v>
      </c>
      <c r="O271" s="74">
        <v>0.90138888888888891</v>
      </c>
      <c r="P271" s="80">
        <v>46280</v>
      </c>
      <c r="Q271" s="74">
        <v>6.805555555555555E-2</v>
      </c>
      <c r="R271" s="80">
        <v>46280</v>
      </c>
      <c r="S271" s="74">
        <v>0.11180555555555556</v>
      </c>
      <c r="T271" s="19"/>
      <c r="U271" s="19">
        <v>0</v>
      </c>
      <c r="V271" s="19">
        <v>0</v>
      </c>
      <c r="W271" s="19">
        <v>0</v>
      </c>
      <c r="X271" s="184" t="s">
        <v>770</v>
      </c>
      <c r="Y271" s="111" t="s">
        <v>771</v>
      </c>
    </row>
    <row r="272" spans="5:25" ht="21.75" customHeight="1">
      <c r="E272" s="79" t="s">
        <v>760</v>
      </c>
      <c r="F272" s="19">
        <v>840</v>
      </c>
      <c r="G272" s="17" t="s">
        <v>765</v>
      </c>
      <c r="H272" s="12">
        <v>2212</v>
      </c>
      <c r="I272" s="12" t="s">
        <v>290</v>
      </c>
      <c r="J272" s="12" t="s">
        <v>761</v>
      </c>
      <c r="K272" s="12" t="s">
        <v>247</v>
      </c>
      <c r="L272" s="80">
        <v>46280</v>
      </c>
      <c r="M272" s="18">
        <v>0.17222222222222222</v>
      </c>
      <c r="N272" s="80">
        <v>46280</v>
      </c>
      <c r="O272" s="18">
        <v>0.5083333333333333</v>
      </c>
      <c r="P272" s="80">
        <v>46281</v>
      </c>
      <c r="Q272" s="18">
        <v>4.791666666666667E-2</v>
      </c>
      <c r="R272" s="80">
        <v>46281</v>
      </c>
      <c r="S272" s="18">
        <v>8.5416666666666669E-2</v>
      </c>
      <c r="T272" s="12"/>
      <c r="U272" s="12">
        <v>0</v>
      </c>
      <c r="V272" s="12">
        <v>0</v>
      </c>
      <c r="W272" s="12">
        <v>0</v>
      </c>
      <c r="X272" s="12" t="s">
        <v>372</v>
      </c>
      <c r="Y272" s="17" t="s">
        <v>767</v>
      </c>
    </row>
    <row r="273" spans="5:25" ht="21.75" customHeight="1">
      <c r="E273" s="79" t="s">
        <v>760</v>
      </c>
      <c r="F273" s="19">
        <v>841</v>
      </c>
      <c r="G273" s="17" t="s">
        <v>768</v>
      </c>
      <c r="H273" s="12">
        <f>500+72+80</f>
        <v>652</v>
      </c>
      <c r="I273" s="12" t="s">
        <v>318</v>
      </c>
      <c r="J273" s="19" t="s">
        <v>21</v>
      </c>
      <c r="K273" s="19" t="s">
        <v>769</v>
      </c>
      <c r="L273" s="80">
        <v>46281</v>
      </c>
      <c r="M273" s="18">
        <v>0.14930555555555555</v>
      </c>
      <c r="N273" s="80">
        <v>46281</v>
      </c>
      <c r="O273" s="18">
        <v>0.2673611111111111</v>
      </c>
      <c r="P273" s="80">
        <v>46281</v>
      </c>
      <c r="Q273" s="18">
        <v>0.29791666666666666</v>
      </c>
      <c r="R273" s="80">
        <v>46281</v>
      </c>
      <c r="S273" s="18">
        <v>0.3263888888888889</v>
      </c>
      <c r="T273" s="12"/>
      <c r="U273" s="12">
        <v>2</v>
      </c>
      <c r="V273" s="12">
        <v>0</v>
      </c>
      <c r="W273" s="12">
        <v>0</v>
      </c>
      <c r="X273" s="12" t="s">
        <v>372</v>
      </c>
      <c r="Y273" s="17" t="s">
        <v>772</v>
      </c>
    </row>
    <row r="274" spans="5:25" ht="21.75" customHeight="1">
      <c r="E274" s="79" t="s">
        <v>760</v>
      </c>
      <c r="F274" s="19">
        <v>842</v>
      </c>
      <c r="G274" s="17" t="s">
        <v>773</v>
      </c>
      <c r="H274" s="12">
        <v>2259</v>
      </c>
      <c r="I274" s="12" t="s">
        <v>290</v>
      </c>
      <c r="J274" s="19" t="s">
        <v>21</v>
      </c>
      <c r="K274" s="12" t="s">
        <v>774</v>
      </c>
      <c r="L274" s="80">
        <v>46281</v>
      </c>
      <c r="M274" s="18">
        <v>0.60069444444444442</v>
      </c>
      <c r="N274" s="80">
        <v>46281</v>
      </c>
      <c r="O274" s="18">
        <v>0.72499999999999998</v>
      </c>
      <c r="P274" s="80">
        <v>46282</v>
      </c>
      <c r="Q274" s="18">
        <v>0.27569444444444446</v>
      </c>
      <c r="R274" s="80">
        <v>46282</v>
      </c>
      <c r="S274" s="18">
        <v>0.30486111111111114</v>
      </c>
      <c r="T274" s="12"/>
      <c r="U274" s="12">
        <v>0</v>
      </c>
      <c r="V274" s="12">
        <v>1</v>
      </c>
      <c r="W274" s="12">
        <v>0</v>
      </c>
      <c r="X274" s="97" t="s">
        <v>722</v>
      </c>
      <c r="Y274" s="98" t="s">
        <v>775</v>
      </c>
    </row>
    <row r="275" spans="5:25" ht="21.75" customHeight="1">
      <c r="E275" s="79" t="s">
        <v>760</v>
      </c>
      <c r="F275" s="19">
        <v>843</v>
      </c>
      <c r="G275" s="17" t="s">
        <v>776</v>
      </c>
      <c r="H275" s="12">
        <f>1485-1125</f>
        <v>360</v>
      </c>
      <c r="I275" s="12" t="s">
        <v>318</v>
      </c>
      <c r="J275" s="19" t="s">
        <v>21</v>
      </c>
      <c r="K275" s="19" t="s">
        <v>769</v>
      </c>
      <c r="L275" s="80">
        <v>46282</v>
      </c>
      <c r="M275" s="18">
        <v>0.3659722222222222</v>
      </c>
      <c r="N275" s="80">
        <v>46282</v>
      </c>
      <c r="O275" s="18">
        <v>0.49236111111111114</v>
      </c>
      <c r="P275" s="80">
        <v>46282</v>
      </c>
      <c r="Q275" s="18">
        <v>0.76597222222222228</v>
      </c>
      <c r="R275" s="80">
        <v>46282</v>
      </c>
      <c r="S275" s="18">
        <v>0.79236111111111107</v>
      </c>
      <c r="T275" s="12"/>
      <c r="U275" s="12">
        <v>0</v>
      </c>
      <c r="V275" s="12">
        <v>0</v>
      </c>
      <c r="W275" s="12">
        <v>0</v>
      </c>
      <c r="X275" s="12" t="s">
        <v>722</v>
      </c>
      <c r="Y275" s="17" t="s">
        <v>758</v>
      </c>
    </row>
    <row r="276" spans="5:25" ht="21.75" customHeight="1">
      <c r="E276" s="79" t="s">
        <v>760</v>
      </c>
      <c r="F276" s="19">
        <v>844</v>
      </c>
      <c r="G276" s="17" t="s">
        <v>777</v>
      </c>
      <c r="H276" s="12">
        <v>1625</v>
      </c>
      <c r="I276" s="12" t="s">
        <v>308</v>
      </c>
      <c r="J276" s="19" t="s">
        <v>21</v>
      </c>
      <c r="K276" s="12">
        <v>37</v>
      </c>
      <c r="L276" s="80">
        <v>46282</v>
      </c>
      <c r="M276" s="18">
        <v>0.8881944444444444</v>
      </c>
      <c r="N276" s="80">
        <v>46283</v>
      </c>
      <c r="O276" s="18">
        <v>6.9444444444444441E-3</v>
      </c>
      <c r="P276" s="80">
        <v>46283</v>
      </c>
      <c r="Q276" s="18">
        <v>0.41041666666666665</v>
      </c>
      <c r="R276" s="80">
        <v>46283</v>
      </c>
      <c r="S276" s="18">
        <v>0.41180555555555554</v>
      </c>
      <c r="T276" s="12"/>
      <c r="U276" s="12">
        <v>0</v>
      </c>
      <c r="V276" s="12">
        <v>0</v>
      </c>
      <c r="W276" s="12">
        <v>0</v>
      </c>
      <c r="X276" s="12" t="s">
        <v>722</v>
      </c>
      <c r="Y276" s="17"/>
    </row>
    <row r="277" spans="5:25" ht="21.75" customHeight="1" thickBot="1">
      <c r="E277" s="75" t="s">
        <v>760</v>
      </c>
      <c r="F277" s="77">
        <v>845</v>
      </c>
      <c r="G277" s="76" t="s">
        <v>778</v>
      </c>
      <c r="H277" s="77">
        <v>1423</v>
      </c>
      <c r="I277" s="77"/>
      <c r="J277" s="77" t="s">
        <v>779</v>
      </c>
      <c r="K277" s="77">
        <v>48</v>
      </c>
      <c r="L277" s="45">
        <v>46283</v>
      </c>
      <c r="M277" s="46">
        <v>0.54374999999999996</v>
      </c>
      <c r="N277" s="45">
        <v>46283</v>
      </c>
      <c r="O277" s="46">
        <v>0.67013888888888884</v>
      </c>
      <c r="P277" s="45">
        <v>46283</v>
      </c>
      <c r="Q277" s="46">
        <v>0.71458333333333335</v>
      </c>
      <c r="R277" s="45">
        <v>46283</v>
      </c>
      <c r="S277" s="46">
        <v>0.75208333333333333</v>
      </c>
      <c r="T277" s="77"/>
      <c r="U277" s="77">
        <v>0</v>
      </c>
      <c r="V277" s="77">
        <v>0</v>
      </c>
      <c r="W277" s="77">
        <v>0</v>
      </c>
      <c r="X277" s="77" t="s">
        <v>722</v>
      </c>
      <c r="Y277" s="76" t="s">
        <v>758</v>
      </c>
    </row>
    <row r="278" spans="5:25" ht="15">
      <c r="E278" s="79" t="s">
        <v>780</v>
      </c>
      <c r="F278" s="19">
        <v>846</v>
      </c>
      <c r="G278" s="72" t="s">
        <v>782</v>
      </c>
      <c r="H278" s="19">
        <v>600</v>
      </c>
      <c r="I278" s="19" t="s">
        <v>783</v>
      </c>
      <c r="J278" s="19" t="s">
        <v>21</v>
      </c>
      <c r="K278" s="19">
        <v>37</v>
      </c>
      <c r="L278" s="80">
        <v>46286</v>
      </c>
      <c r="M278" s="74">
        <v>0.66666666666666663</v>
      </c>
      <c r="N278" s="80">
        <v>46286</v>
      </c>
      <c r="O278" s="74">
        <v>0.77569444444444446</v>
      </c>
      <c r="P278" s="80">
        <v>46286</v>
      </c>
      <c r="Q278" s="74">
        <v>0.94236111111111109</v>
      </c>
      <c r="R278" s="80">
        <v>46286</v>
      </c>
      <c r="S278" s="74">
        <v>0.9868055555555556</v>
      </c>
      <c r="T278" s="19"/>
      <c r="U278" s="19">
        <v>0</v>
      </c>
      <c r="V278" s="19">
        <v>0</v>
      </c>
      <c r="W278" s="19">
        <v>0</v>
      </c>
      <c r="X278" s="184" t="s">
        <v>507</v>
      </c>
      <c r="Y278" s="72" t="s">
        <v>784</v>
      </c>
    </row>
    <row r="279" spans="5:25" ht="15">
      <c r="E279" s="79" t="s">
        <v>780</v>
      </c>
      <c r="F279" s="19">
        <v>847</v>
      </c>
      <c r="G279" s="17" t="s">
        <v>785</v>
      </c>
      <c r="H279" s="12">
        <v>1000</v>
      </c>
      <c r="I279" s="12" t="s">
        <v>290</v>
      </c>
      <c r="J279" s="19" t="s">
        <v>21</v>
      </c>
      <c r="K279" s="19">
        <v>37</v>
      </c>
      <c r="L279" s="80">
        <v>46287</v>
      </c>
      <c r="M279" s="18">
        <v>0.19930555555555557</v>
      </c>
      <c r="N279" s="80">
        <v>46287</v>
      </c>
      <c r="O279" s="18">
        <v>0.42152777777777778</v>
      </c>
      <c r="P279" s="80">
        <v>46287</v>
      </c>
      <c r="Q279" s="18">
        <v>0.68125000000000002</v>
      </c>
      <c r="R279" s="80">
        <v>46287</v>
      </c>
      <c r="S279" s="18">
        <v>0.71875</v>
      </c>
      <c r="T279" s="12"/>
      <c r="U279" s="12">
        <v>0</v>
      </c>
      <c r="V279" s="12">
        <v>0</v>
      </c>
      <c r="W279" s="12">
        <v>0</v>
      </c>
      <c r="X279" s="12" t="s">
        <v>129</v>
      </c>
      <c r="Y279" s="17" t="s">
        <v>786</v>
      </c>
    </row>
    <row r="280" spans="5:25" ht="15">
      <c r="E280" s="79" t="s">
        <v>780</v>
      </c>
      <c r="F280" s="19">
        <v>848</v>
      </c>
      <c r="G280" s="17" t="s">
        <v>787</v>
      </c>
      <c r="H280" s="12">
        <v>2317</v>
      </c>
      <c r="I280" s="12" t="s">
        <v>287</v>
      </c>
      <c r="J280" s="12" t="s">
        <v>761</v>
      </c>
      <c r="K280" s="12" t="s">
        <v>247</v>
      </c>
      <c r="L280" s="80">
        <v>46287</v>
      </c>
      <c r="M280" s="18">
        <v>0.75694444444444442</v>
      </c>
      <c r="N280" s="80">
        <v>46287</v>
      </c>
      <c r="O280" s="18">
        <v>0.90902777777777777</v>
      </c>
      <c r="P280" s="80">
        <v>46288</v>
      </c>
      <c r="Q280" s="18">
        <v>0.43263888888888891</v>
      </c>
      <c r="R280" s="80">
        <v>46288</v>
      </c>
      <c r="S280" s="18">
        <v>0.47708333333333336</v>
      </c>
      <c r="T280" s="12"/>
      <c r="U280" s="12">
        <v>0</v>
      </c>
      <c r="V280" s="12">
        <v>0</v>
      </c>
      <c r="W280" s="12">
        <v>0</v>
      </c>
      <c r="X280" s="12" t="s">
        <v>129</v>
      </c>
      <c r="Y280" s="17"/>
    </row>
    <row r="281" spans="5:25" ht="18" customHeight="1">
      <c r="E281" s="79" t="s">
        <v>780</v>
      </c>
      <c r="F281" s="19">
        <v>849</v>
      </c>
      <c r="G281" s="17" t="s">
        <v>788</v>
      </c>
      <c r="H281" s="12">
        <v>2326</v>
      </c>
      <c r="I281" s="12" t="s">
        <v>789</v>
      </c>
      <c r="J281" s="12" t="s">
        <v>761</v>
      </c>
      <c r="K281" s="12" t="s">
        <v>247</v>
      </c>
      <c r="L281" s="80">
        <v>46288</v>
      </c>
      <c r="M281" s="18">
        <v>0.54583333333333328</v>
      </c>
      <c r="N281" s="80">
        <v>46288</v>
      </c>
      <c r="O281" s="18">
        <v>0.65902777777777777</v>
      </c>
      <c r="P281" s="80">
        <v>46289</v>
      </c>
      <c r="Q281" s="18">
        <v>0.22569444444444445</v>
      </c>
      <c r="R281" s="80">
        <v>46289</v>
      </c>
      <c r="S281" s="18">
        <v>0.27777777777777779</v>
      </c>
      <c r="T281" s="12"/>
      <c r="U281" s="12">
        <v>0</v>
      </c>
      <c r="V281" s="12">
        <v>0</v>
      </c>
      <c r="W281" s="12">
        <v>0</v>
      </c>
      <c r="X281" s="12" t="s">
        <v>129</v>
      </c>
      <c r="Y281" s="17" t="s">
        <v>790</v>
      </c>
    </row>
    <row r="282" spans="5:25" ht="15">
      <c r="E282" s="79" t="s">
        <v>780</v>
      </c>
      <c r="F282" s="19">
        <v>850</v>
      </c>
      <c r="G282" s="17" t="s">
        <v>791</v>
      </c>
      <c r="H282" s="12">
        <v>1600</v>
      </c>
      <c r="I282" s="12" t="s">
        <v>308</v>
      </c>
      <c r="J282" s="19" t="s">
        <v>21</v>
      </c>
      <c r="K282" s="12" t="s">
        <v>792</v>
      </c>
      <c r="L282" s="80">
        <v>46289</v>
      </c>
      <c r="M282" s="18">
        <v>0.86944444444444446</v>
      </c>
      <c r="N282" s="80">
        <v>46289</v>
      </c>
      <c r="O282" s="18">
        <v>0.98472222222222217</v>
      </c>
      <c r="P282" s="80">
        <v>46290</v>
      </c>
      <c r="Q282" s="18">
        <v>5.4166666666666669E-2</v>
      </c>
      <c r="R282" s="80">
        <v>46290</v>
      </c>
      <c r="S282" s="18">
        <v>0.11805555555555557</v>
      </c>
      <c r="T282" s="12"/>
      <c r="U282" s="12">
        <v>0</v>
      </c>
      <c r="V282" s="12">
        <v>0</v>
      </c>
      <c r="W282" s="12">
        <v>0</v>
      </c>
      <c r="X282" s="97" t="s">
        <v>793</v>
      </c>
      <c r="Y282" s="98" t="s">
        <v>794</v>
      </c>
    </row>
    <row r="283" spans="5:25" ht="15.75" thickBot="1">
      <c r="E283" s="75" t="s">
        <v>780</v>
      </c>
      <c r="F283" s="77">
        <v>851</v>
      </c>
      <c r="G283" s="76" t="s">
        <v>795</v>
      </c>
      <c r="H283" s="77">
        <v>1270</v>
      </c>
      <c r="I283" s="77" t="s">
        <v>796</v>
      </c>
      <c r="J283" s="77" t="s">
        <v>21</v>
      </c>
      <c r="K283" s="77" t="s">
        <v>792</v>
      </c>
      <c r="L283" s="45">
        <v>46290</v>
      </c>
      <c r="M283" s="46">
        <v>0.12361111111111112</v>
      </c>
      <c r="N283" s="45">
        <v>46290</v>
      </c>
      <c r="O283" s="46">
        <v>0.2388888888888889</v>
      </c>
      <c r="P283" s="45">
        <v>46291</v>
      </c>
      <c r="Q283" s="46">
        <v>0.56111111111111112</v>
      </c>
      <c r="R283" s="80">
        <v>46290</v>
      </c>
      <c r="S283" s="46">
        <v>0.6166666666666667</v>
      </c>
      <c r="T283" s="77"/>
      <c r="U283" s="77">
        <v>0</v>
      </c>
      <c r="V283" s="77">
        <v>0</v>
      </c>
      <c r="W283" s="77">
        <v>0</v>
      </c>
      <c r="X283" s="77" t="s">
        <v>800</v>
      </c>
      <c r="Y283" s="76" t="s">
        <v>801</v>
      </c>
    </row>
    <row r="284" spans="5:25" ht="15">
      <c r="E284" s="79" t="s">
        <v>797</v>
      </c>
      <c r="F284" s="19">
        <v>852</v>
      </c>
      <c r="G284" s="72" t="s">
        <v>799</v>
      </c>
      <c r="H284" s="19">
        <v>2426</v>
      </c>
      <c r="I284" s="19" t="s">
        <v>287</v>
      </c>
      <c r="J284" s="19" t="s">
        <v>21</v>
      </c>
      <c r="K284" s="19" t="s">
        <v>792</v>
      </c>
      <c r="L284" s="80">
        <v>46293</v>
      </c>
      <c r="M284" s="74">
        <v>0.41666666666666669</v>
      </c>
      <c r="N284" s="80">
        <v>46293</v>
      </c>
      <c r="O284" s="74">
        <v>0.53472222222222221</v>
      </c>
      <c r="P284" s="80">
        <v>46294</v>
      </c>
      <c r="Q284" s="74">
        <v>0.12430555555555556</v>
      </c>
      <c r="R284" s="80">
        <v>46294</v>
      </c>
      <c r="S284" s="74">
        <v>0.16875000000000001</v>
      </c>
      <c r="T284" s="19"/>
      <c r="U284" s="19">
        <v>0</v>
      </c>
      <c r="V284" s="19">
        <v>2</v>
      </c>
      <c r="W284" s="19">
        <v>0</v>
      </c>
      <c r="X284" s="97" t="s">
        <v>793</v>
      </c>
      <c r="Y284" s="111" t="s">
        <v>802</v>
      </c>
    </row>
    <row r="285" spans="5:25" ht="28.5">
      <c r="E285" s="79" t="s">
        <v>797</v>
      </c>
      <c r="F285" s="19">
        <v>853</v>
      </c>
      <c r="G285" s="17" t="s">
        <v>803</v>
      </c>
      <c r="H285" s="12">
        <v>1920</v>
      </c>
      <c r="I285" s="12" t="s">
        <v>283</v>
      </c>
      <c r="J285" s="19" t="s">
        <v>804</v>
      </c>
      <c r="K285" s="19">
        <v>38.299999999999997</v>
      </c>
      <c r="L285" s="80">
        <v>46294</v>
      </c>
      <c r="M285" s="18">
        <v>0.2326388888888889</v>
      </c>
      <c r="N285" s="80">
        <v>46294</v>
      </c>
      <c r="O285" s="18">
        <v>0.35069444444444442</v>
      </c>
      <c r="P285" s="80">
        <v>46294</v>
      </c>
      <c r="Q285" s="18">
        <v>0.82291666666666663</v>
      </c>
      <c r="R285" s="80">
        <v>46294</v>
      </c>
      <c r="S285" s="18">
        <v>0.87777777777777777</v>
      </c>
      <c r="T285" s="12"/>
      <c r="U285" s="12">
        <v>0</v>
      </c>
      <c r="V285" s="12">
        <v>3</v>
      </c>
      <c r="W285" s="12">
        <v>0</v>
      </c>
      <c r="X285" s="12" t="s">
        <v>793</v>
      </c>
      <c r="Y285" s="188" t="s">
        <v>805</v>
      </c>
    </row>
    <row r="286" spans="5:25" ht="15">
      <c r="E286" s="79" t="s">
        <v>797</v>
      </c>
      <c r="F286" s="19">
        <v>854</v>
      </c>
      <c r="G286" s="17" t="s">
        <v>806</v>
      </c>
      <c r="H286" s="12">
        <f>818+830+1003</f>
        <v>2651</v>
      </c>
      <c r="I286" s="12" t="s">
        <v>331</v>
      </c>
      <c r="J286" s="19" t="s">
        <v>804</v>
      </c>
      <c r="K286" s="19">
        <v>38.299999999999997</v>
      </c>
      <c r="L286" s="80">
        <v>46294</v>
      </c>
      <c r="M286" s="18">
        <v>0.97361111111111109</v>
      </c>
      <c r="N286" s="80">
        <v>46295</v>
      </c>
      <c r="O286" s="18">
        <v>9.2361111111111116E-2</v>
      </c>
      <c r="P286" s="80">
        <v>46295</v>
      </c>
      <c r="Q286" s="18">
        <v>0.73402777777777772</v>
      </c>
      <c r="R286" s="80">
        <v>46295</v>
      </c>
      <c r="S286" s="18">
        <v>0.78819444444444442</v>
      </c>
      <c r="T286" s="12"/>
      <c r="U286" s="12">
        <v>0</v>
      </c>
      <c r="V286" s="12">
        <v>0</v>
      </c>
      <c r="W286" s="12">
        <v>0</v>
      </c>
      <c r="X286" s="12" t="s">
        <v>793</v>
      </c>
      <c r="Y286" s="17" t="s">
        <v>807</v>
      </c>
    </row>
    <row r="287" spans="5:25" ht="29.25" customHeight="1">
      <c r="E287" s="79" t="s">
        <v>797</v>
      </c>
      <c r="F287" s="19">
        <v>855</v>
      </c>
      <c r="G287" s="17" t="s">
        <v>808</v>
      </c>
      <c r="H287" s="12">
        <v>1800</v>
      </c>
      <c r="I287" s="12" t="s">
        <v>331</v>
      </c>
      <c r="J287" s="19" t="s">
        <v>21</v>
      </c>
      <c r="K287" s="19">
        <v>38</v>
      </c>
      <c r="L287" s="80">
        <v>46295</v>
      </c>
      <c r="M287" s="18">
        <v>0.87916666666666665</v>
      </c>
      <c r="N287" s="80">
        <v>46295</v>
      </c>
      <c r="O287" s="18">
        <v>0.98958333333333337</v>
      </c>
      <c r="P287" s="80">
        <v>46296</v>
      </c>
      <c r="Q287" s="18">
        <v>0.43402777777777779</v>
      </c>
      <c r="R287" s="80">
        <v>46296</v>
      </c>
      <c r="S287" s="18">
        <v>0.47638888888888886</v>
      </c>
      <c r="T287" s="12"/>
      <c r="U287" s="12">
        <v>0</v>
      </c>
      <c r="V287" s="12">
        <v>1</v>
      </c>
      <c r="W287" s="12">
        <v>0</v>
      </c>
      <c r="X287" s="12" t="s">
        <v>793</v>
      </c>
      <c r="Y287" s="17" t="s">
        <v>809</v>
      </c>
    </row>
    <row r="288" spans="5:25" ht="28.5">
      <c r="E288" s="79" t="s">
        <v>797</v>
      </c>
      <c r="F288" s="19">
        <v>856</v>
      </c>
      <c r="G288" s="17" t="s">
        <v>810</v>
      </c>
      <c r="H288" s="12">
        <v>2197</v>
      </c>
      <c r="I288" s="12" t="s">
        <v>308</v>
      </c>
      <c r="J288" s="19" t="s">
        <v>21</v>
      </c>
      <c r="K288" s="19">
        <v>37</v>
      </c>
      <c r="L288" s="80">
        <v>46296</v>
      </c>
      <c r="M288" s="18">
        <v>0.51666666666666672</v>
      </c>
      <c r="N288" s="80">
        <v>46296</v>
      </c>
      <c r="O288" s="18">
        <v>0.62847222222222221</v>
      </c>
      <c r="P288" s="80">
        <v>46296</v>
      </c>
      <c r="Q288" s="18">
        <v>0.90694444444444444</v>
      </c>
      <c r="R288" s="80">
        <v>46296</v>
      </c>
      <c r="S288" s="18">
        <v>0.93263888888888891</v>
      </c>
      <c r="T288" s="12"/>
      <c r="U288" s="12">
        <v>0</v>
      </c>
      <c r="V288" s="12">
        <v>1</v>
      </c>
      <c r="W288" s="12">
        <v>0</v>
      </c>
      <c r="X288" s="12" t="s">
        <v>793</v>
      </c>
      <c r="Y288" s="17" t="s">
        <v>811</v>
      </c>
    </row>
    <row r="289" spans="5:25" ht="15">
      <c r="E289" s="60" t="s">
        <v>797</v>
      </c>
      <c r="F289" s="12">
        <v>857</v>
      </c>
      <c r="G289" s="17" t="s">
        <v>815</v>
      </c>
      <c r="H289" s="12">
        <v>1217</v>
      </c>
      <c r="I289" s="12" t="s">
        <v>315</v>
      </c>
      <c r="J289" s="12" t="s">
        <v>779</v>
      </c>
      <c r="K289" s="12" t="s">
        <v>816</v>
      </c>
      <c r="L289" s="21">
        <v>46296</v>
      </c>
      <c r="M289" s="18">
        <v>0.97847222222222219</v>
      </c>
      <c r="N289" s="21">
        <v>46297</v>
      </c>
      <c r="O289" s="18">
        <v>7.6388888888888895E-2</v>
      </c>
      <c r="P289" s="80">
        <v>46297</v>
      </c>
      <c r="Q289" s="18">
        <v>0.38680555555555557</v>
      </c>
      <c r="R289" s="21">
        <v>46298</v>
      </c>
      <c r="S289" s="12"/>
      <c r="T289" s="12"/>
      <c r="U289" s="12">
        <v>0</v>
      </c>
      <c r="V289" s="12">
        <v>0</v>
      </c>
      <c r="W289" s="12">
        <v>1</v>
      </c>
      <c r="X289" s="12" t="s">
        <v>793</v>
      </c>
      <c r="Y289" s="17"/>
    </row>
    <row r="290" spans="5:25" ht="15.75" thickBot="1">
      <c r="E290" s="75" t="s">
        <v>797</v>
      </c>
      <c r="F290" s="77">
        <v>858</v>
      </c>
      <c r="G290" s="76" t="s">
        <v>813</v>
      </c>
      <c r="H290" s="77">
        <v>1800</v>
      </c>
      <c r="I290" s="77" t="s">
        <v>318</v>
      </c>
      <c r="J290" s="77" t="s">
        <v>21</v>
      </c>
      <c r="K290" s="77">
        <v>38</v>
      </c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 t="s">
        <v>793</v>
      </c>
      <c r="Y290" s="76" t="s">
        <v>817</v>
      </c>
    </row>
    <row r="291" spans="5:25" ht="15">
      <c r="E291" s="79" t="s">
        <v>812</v>
      </c>
      <c r="F291" s="19">
        <v>859</v>
      </c>
      <c r="G291" s="7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 t="s">
        <v>793</v>
      </c>
      <c r="Y291" s="72"/>
    </row>
    <row r="292" spans="5:25" ht="15">
      <c r="E292" s="79" t="s">
        <v>812</v>
      </c>
      <c r="F292" s="19">
        <v>860</v>
      </c>
      <c r="G292" s="1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 t="s">
        <v>793</v>
      </c>
      <c r="Y292" s="17"/>
    </row>
    <row r="293" spans="5:25" ht="15">
      <c r="E293" s="79" t="s">
        <v>812</v>
      </c>
      <c r="F293" s="19">
        <v>861</v>
      </c>
      <c r="G293" s="1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 t="s">
        <v>793</v>
      </c>
      <c r="Y293" s="17"/>
    </row>
    <row r="294" spans="5:25" ht="15">
      <c r="E294" s="79" t="s">
        <v>812</v>
      </c>
      <c r="F294" s="19">
        <v>862</v>
      </c>
      <c r="G294" s="1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 t="s">
        <v>793</v>
      </c>
      <c r="Y294" s="17"/>
    </row>
    <row r="295" spans="5:25" ht="15">
      <c r="E295" s="79" t="s">
        <v>812</v>
      </c>
      <c r="F295" s="19">
        <v>863</v>
      </c>
      <c r="G295" s="1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 t="s">
        <v>793</v>
      </c>
      <c r="Y295" s="17"/>
    </row>
    <row r="296" spans="5:25" ht="15">
      <c r="E296" s="79" t="s">
        <v>812</v>
      </c>
      <c r="F296" s="19">
        <v>864</v>
      </c>
      <c r="G296" s="1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 t="s">
        <v>793</v>
      </c>
      <c r="Y296" s="17"/>
    </row>
    <row r="297" spans="5:25" ht="15">
      <c r="E297" s="79" t="s">
        <v>812</v>
      </c>
      <c r="F297" s="19">
        <v>865</v>
      </c>
      <c r="G297" s="1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 t="s">
        <v>793</v>
      </c>
      <c r="Y297" s="17"/>
    </row>
    <row r="298" spans="5:25">
      <c r="H298" s="22"/>
      <c r="M298" s="22"/>
      <c r="T298" s="22"/>
    </row>
    <row r="299" spans="5:25">
      <c r="H299" s="22"/>
      <c r="M299" s="22"/>
      <c r="T299" s="22"/>
    </row>
    <row r="300" spans="5:25">
      <c r="H300" s="22"/>
      <c r="M300" s="22"/>
      <c r="T300" s="22"/>
    </row>
    <row r="301" spans="5:25">
      <c r="H301" s="22"/>
      <c r="M301" s="22"/>
      <c r="T301" s="22"/>
    </row>
    <row r="302" spans="5:25">
      <c r="H302" s="22"/>
      <c r="M302" s="22"/>
      <c r="T302" s="22"/>
    </row>
    <row r="303" spans="5:25">
      <c r="H303" s="22"/>
      <c r="M303" s="22"/>
      <c r="T303" s="22"/>
    </row>
    <row r="304" spans="5:25">
      <c r="H304" s="22"/>
      <c r="M304" s="22"/>
      <c r="T304" s="22"/>
    </row>
    <row r="305" spans="8:20">
      <c r="H305" s="22"/>
      <c r="M305" s="22"/>
      <c r="T305" s="22"/>
    </row>
    <row r="306" spans="8:20">
      <c r="H306" s="22"/>
      <c r="M306" s="22"/>
      <c r="T306" s="22"/>
    </row>
    <row r="307" spans="8:20">
      <c r="H307" s="22"/>
      <c r="M307" s="22"/>
      <c r="T307" s="22"/>
    </row>
    <row r="308" spans="8:20">
      <c r="H308" s="22"/>
      <c r="M308" s="22"/>
      <c r="T308" s="22"/>
    </row>
    <row r="309" spans="8:20">
      <c r="H309" s="22"/>
      <c r="M309" s="22"/>
      <c r="T309" s="22"/>
    </row>
    <row r="310" spans="8:20">
      <c r="H310" s="22"/>
      <c r="M310" s="22"/>
      <c r="T310" s="22"/>
    </row>
    <row r="311" spans="8:20">
      <c r="H311" s="22"/>
      <c r="M311" s="22"/>
      <c r="T311" s="22"/>
    </row>
    <row r="312" spans="8:20">
      <c r="H312" s="22"/>
      <c r="M312" s="22"/>
      <c r="T312" s="22"/>
    </row>
    <row r="313" spans="8:20">
      <c r="H313" s="22"/>
      <c r="M313" s="22"/>
      <c r="T313" s="22"/>
    </row>
    <row r="314" spans="8:20">
      <c r="H314" s="22"/>
      <c r="M314" s="22"/>
      <c r="T314" s="22"/>
    </row>
    <row r="315" spans="8:20">
      <c r="H315" s="22"/>
      <c r="M315" s="22"/>
      <c r="T315" s="22"/>
    </row>
    <row r="316" spans="8:20">
      <c r="H316" s="22"/>
      <c r="M316" s="22"/>
      <c r="T316" s="22"/>
    </row>
    <row r="317" spans="8:20">
      <c r="H317" s="22"/>
      <c r="M317" s="22"/>
      <c r="T317" s="22"/>
    </row>
    <row r="318" spans="8:20">
      <c r="H318" s="22"/>
      <c r="M318" s="22"/>
      <c r="T318" s="22"/>
    </row>
    <row r="319" spans="8:20">
      <c r="H319" s="22"/>
      <c r="M319" s="22"/>
      <c r="T319" s="22"/>
    </row>
    <row r="320" spans="8:20">
      <c r="H320" s="22"/>
      <c r="M320" s="22"/>
      <c r="T320" s="22"/>
    </row>
    <row r="321" spans="8:20">
      <c r="H321" s="22"/>
      <c r="M321" s="22"/>
      <c r="T321" s="22"/>
    </row>
    <row r="322" spans="8:20">
      <c r="H322" s="22"/>
      <c r="M322" s="22"/>
      <c r="T322" s="22"/>
    </row>
    <row r="323" spans="8:20">
      <c r="H323" s="22"/>
      <c r="M323" s="22"/>
      <c r="T323" s="22"/>
    </row>
    <row r="324" spans="8:20">
      <c r="H324" s="22"/>
      <c r="M324" s="22"/>
      <c r="T324" s="22"/>
    </row>
    <row r="325" spans="8:20">
      <c r="H325" s="22"/>
      <c r="M325" s="22"/>
      <c r="T325" s="22"/>
    </row>
    <row r="326" spans="8:20">
      <c r="H326" s="22"/>
      <c r="M326" s="22"/>
      <c r="T326" s="22"/>
    </row>
    <row r="327" spans="8:20">
      <c r="H327" s="22"/>
      <c r="M327" s="22"/>
      <c r="T327" s="22"/>
    </row>
    <row r="328" spans="8:20">
      <c r="H328" s="22"/>
      <c r="M328" s="22"/>
      <c r="T328" s="22"/>
    </row>
    <row r="329" spans="8:20">
      <c r="H329" s="22"/>
      <c r="M329" s="22"/>
      <c r="T329" s="22"/>
    </row>
    <row r="330" spans="8:20">
      <c r="H330" s="22"/>
      <c r="M330" s="22"/>
      <c r="T330" s="22"/>
    </row>
    <row r="331" spans="8:20">
      <c r="H331" s="22"/>
      <c r="M331" s="22"/>
      <c r="T331" s="22"/>
    </row>
    <row r="332" spans="8:20">
      <c r="H332" s="22"/>
      <c r="M332" s="22"/>
      <c r="T332" s="22"/>
    </row>
    <row r="333" spans="8:20">
      <c r="M333" s="58"/>
    </row>
  </sheetData>
  <mergeCells count="23">
    <mergeCell ref="Z173:AG173"/>
    <mergeCell ref="Z174:AG174"/>
    <mergeCell ref="Y1:Y2"/>
    <mergeCell ref="J1:J2"/>
    <mergeCell ref="K1:K2"/>
    <mergeCell ref="X1:X2"/>
    <mergeCell ref="V1:V2"/>
    <mergeCell ref="W1:W2"/>
    <mergeCell ref="U1:U2"/>
    <mergeCell ref="A1:A2"/>
    <mergeCell ref="T1:T2"/>
    <mergeCell ref="D1:D2"/>
    <mergeCell ref="H1:H2"/>
    <mergeCell ref="C1:C2"/>
    <mergeCell ref="B1:B2"/>
    <mergeCell ref="G1:G2"/>
    <mergeCell ref="E1:E2"/>
    <mergeCell ref="F1:F2"/>
    <mergeCell ref="I1:I2"/>
    <mergeCell ref="L1:M1"/>
    <mergeCell ref="N1:O1"/>
    <mergeCell ref="P1:Q1"/>
    <mergeCell ref="R1:S1"/>
  </mergeCells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8C8E-E4D4-4F2B-908B-851AA5E42291}">
  <dimension ref="A1:DN297"/>
  <sheetViews>
    <sheetView zoomScale="85" zoomScaleNormal="85" workbookViewId="0">
      <pane ySplit="2" topLeftCell="A264" activePane="bottomLeft" state="frozen"/>
      <selection pane="bottomLeft" activeCell="V310" sqref="V310"/>
    </sheetView>
  </sheetViews>
  <sheetFormatPr defaultRowHeight="15"/>
  <cols>
    <col min="1" max="1" width="12.28515625" style="16" bestFit="1" customWidth="1"/>
    <col min="2" max="2" width="17.85546875" bestFit="1" customWidth="1"/>
    <col min="3" max="3" width="12.42578125" customWidth="1"/>
    <col min="4" max="4" width="17.7109375" customWidth="1"/>
    <col min="5" max="5" width="12.85546875" customWidth="1"/>
    <col min="6" max="6" width="23.28515625" bestFit="1" customWidth="1"/>
    <col min="7" max="7" width="13.28515625" customWidth="1"/>
    <col min="8" max="8" width="14.7109375" customWidth="1"/>
    <col min="9" max="9" width="14" customWidth="1"/>
    <col min="10" max="10" width="16.28515625" customWidth="1"/>
    <col min="11" max="12" width="7.140625" customWidth="1"/>
    <col min="13" max="13" width="15.5703125" customWidth="1"/>
    <col min="14" max="14" width="20.85546875" customWidth="1"/>
    <col min="15" max="15" width="20.140625" bestFit="1" customWidth="1"/>
    <col min="16" max="16" width="17.42578125" customWidth="1"/>
    <col min="17" max="18" width="7.85546875" customWidth="1"/>
    <col min="19" max="19" width="13.85546875" bestFit="1" customWidth="1"/>
    <col min="20" max="20" width="15.85546875" bestFit="1" customWidth="1"/>
    <col min="21" max="21" width="13.85546875" bestFit="1" customWidth="1"/>
    <col min="22" max="22" width="21.7109375" bestFit="1" customWidth="1"/>
    <col min="25" max="25" width="10" bestFit="1" customWidth="1"/>
    <col min="26" max="26" width="13.85546875" bestFit="1" customWidth="1"/>
    <col min="27" max="27" width="15.85546875" bestFit="1" customWidth="1"/>
    <col min="28" max="28" width="13.85546875" bestFit="1" customWidth="1"/>
    <col min="29" max="29" width="21.85546875" bestFit="1" customWidth="1"/>
    <col min="31" max="31" width="10.5703125" bestFit="1" customWidth="1"/>
  </cols>
  <sheetData>
    <row r="1" spans="1:118" ht="35.25" customHeight="1">
      <c r="A1" s="200" t="s">
        <v>77</v>
      </c>
      <c r="B1" s="200" t="s">
        <v>78</v>
      </c>
      <c r="C1" s="200" t="s">
        <v>2</v>
      </c>
      <c r="D1" s="200"/>
      <c r="E1" s="201" t="s">
        <v>3</v>
      </c>
      <c r="F1" s="201"/>
      <c r="G1" s="202" t="s">
        <v>4</v>
      </c>
      <c r="H1" s="203"/>
      <c r="I1" s="201" t="s">
        <v>5</v>
      </c>
      <c r="J1" s="201"/>
      <c r="M1" s="211" t="s">
        <v>81</v>
      </c>
      <c r="N1" s="212" t="s">
        <v>79</v>
      </c>
      <c r="O1" s="211" t="s">
        <v>80</v>
      </c>
      <c r="P1" s="211" t="s">
        <v>95</v>
      </c>
      <c r="R1" s="47"/>
      <c r="S1" s="210" t="s">
        <v>82</v>
      </c>
      <c r="T1" s="209" t="s">
        <v>83</v>
      </c>
      <c r="U1" s="210" t="s">
        <v>84</v>
      </c>
      <c r="V1" s="209" t="s">
        <v>85</v>
      </c>
      <c r="Y1" s="207" t="s">
        <v>99</v>
      </c>
      <c r="Z1" s="207" t="s">
        <v>100</v>
      </c>
      <c r="AA1" s="207" t="s">
        <v>101</v>
      </c>
      <c r="AB1" s="207" t="s">
        <v>102</v>
      </c>
      <c r="AC1" s="207" t="s">
        <v>103</v>
      </c>
    </row>
    <row r="2" spans="1:118" ht="15.75" thickBot="1">
      <c r="A2" s="198"/>
      <c r="B2" s="198"/>
      <c r="C2" s="35" t="s">
        <v>6</v>
      </c>
      <c r="D2" s="35" t="s">
        <v>7</v>
      </c>
      <c r="E2" s="35" t="s">
        <v>6</v>
      </c>
      <c r="F2" s="35" t="s">
        <v>7</v>
      </c>
      <c r="G2" s="35" t="s">
        <v>6</v>
      </c>
      <c r="H2" s="35" t="s">
        <v>7</v>
      </c>
      <c r="I2" s="35" t="s">
        <v>6</v>
      </c>
      <c r="J2" s="35" t="s">
        <v>7</v>
      </c>
      <c r="M2" s="212"/>
      <c r="N2" s="212"/>
      <c r="O2" s="212"/>
      <c r="P2" s="212"/>
      <c r="R2" s="48"/>
      <c r="S2" s="210"/>
      <c r="T2" s="209"/>
      <c r="U2" s="210"/>
      <c r="V2" s="209"/>
      <c r="Y2" s="208"/>
      <c r="Z2" s="207"/>
      <c r="AA2" s="208"/>
      <c r="AB2" s="207"/>
      <c r="AC2" s="208"/>
    </row>
    <row r="3" spans="1:118" ht="15.75" thickBot="1">
      <c r="A3" s="38" t="s">
        <v>126</v>
      </c>
      <c r="B3" s="36" t="s">
        <v>127</v>
      </c>
      <c r="C3" s="21">
        <v>46027</v>
      </c>
      <c r="D3" s="33">
        <v>0.47847222222222224</v>
      </c>
      <c r="E3" s="21">
        <v>46027</v>
      </c>
      <c r="F3" s="18">
        <v>0.62013888888888891</v>
      </c>
      <c r="G3" s="21">
        <v>46028</v>
      </c>
      <c r="H3" s="18">
        <v>3.2638888888888891E-2</v>
      </c>
      <c r="I3" s="21">
        <v>46028</v>
      </c>
      <c r="J3" s="18">
        <v>6.9444444444444448E-2</v>
      </c>
      <c r="L3" s="32"/>
      <c r="M3" s="67">
        <f t="shared" ref="M3:M4" si="0">(E3+F3)-(C3+D3)</f>
        <v>0.14166666666278616</v>
      </c>
      <c r="N3" s="67">
        <f t="shared" ref="N3:N4" si="1">(G3+H3)-(E3+F3)</f>
        <v>0.41249999999854481</v>
      </c>
      <c r="O3" s="67">
        <f t="shared" ref="O3:O4" si="2">(I3+J3)-(G3+H3)</f>
        <v>3.680555555911269E-2</v>
      </c>
      <c r="P3" s="67">
        <f t="shared" ref="P3:P4" si="3">(C4+D4)-(I3+J3)</f>
        <v>0.35763888889050577</v>
      </c>
      <c r="R3" s="32"/>
      <c r="S3" s="62">
        <f t="shared" ref="S3:V4" si="4">1440*M3</f>
        <v>203.99999999441206</v>
      </c>
      <c r="T3" s="62">
        <f t="shared" si="4"/>
        <v>593.99999999790452</v>
      </c>
      <c r="U3" s="62">
        <f t="shared" si="4"/>
        <v>53.000000005122274</v>
      </c>
      <c r="V3" s="62">
        <f t="shared" si="4"/>
        <v>515.00000000232831</v>
      </c>
      <c r="X3" s="61" t="s">
        <v>86</v>
      </c>
      <c r="Y3" s="61">
        <v>11000</v>
      </c>
      <c r="Z3" s="63">
        <f>SUM(S3:S11)</f>
        <v>1644.0000000048894</v>
      </c>
      <c r="AA3" s="63">
        <f>SUM(T3:T11)</f>
        <v>5108.0000000016298</v>
      </c>
      <c r="AB3" s="63">
        <f>SUM(U3:U11)</f>
        <v>509.99999999650754</v>
      </c>
      <c r="AC3" s="64">
        <f>SUM(V3:V11)</f>
        <v>2342.9999999888241</v>
      </c>
    </row>
    <row r="4" spans="1:118" ht="15.75" thickBot="1">
      <c r="A4" s="39" t="s">
        <v>126</v>
      </c>
      <c r="B4" s="59" t="s">
        <v>127</v>
      </c>
      <c r="C4" s="21">
        <v>46028</v>
      </c>
      <c r="D4" s="33">
        <v>0.42708333333333331</v>
      </c>
      <c r="E4" s="21">
        <v>46028</v>
      </c>
      <c r="F4" s="18">
        <v>0.55069444444444449</v>
      </c>
      <c r="G4" s="21">
        <v>46028</v>
      </c>
      <c r="H4" s="18">
        <v>0.96388888888888891</v>
      </c>
      <c r="I4" s="21">
        <v>46029</v>
      </c>
      <c r="J4" s="18">
        <v>6.9444444444444441E-3</v>
      </c>
      <c r="L4" s="32"/>
      <c r="M4" s="67">
        <f t="shared" si="0"/>
        <v>0.12361111110658385</v>
      </c>
      <c r="N4" s="67">
        <f t="shared" si="1"/>
        <v>0.41319444444525288</v>
      </c>
      <c r="O4" s="67">
        <f t="shared" si="2"/>
        <v>4.3055555557657499E-2</v>
      </c>
      <c r="P4" s="67">
        <f t="shared" si="3"/>
        <v>0.32777777777664596</v>
      </c>
      <c r="S4" s="62">
        <f t="shared" si="4"/>
        <v>177.99999999348074</v>
      </c>
      <c r="T4" s="62">
        <f t="shared" si="4"/>
        <v>595.00000000116415</v>
      </c>
      <c r="U4" s="62">
        <f t="shared" si="4"/>
        <v>62.000000003026798</v>
      </c>
      <c r="V4" s="62">
        <f t="shared" si="4"/>
        <v>471.99999999837019</v>
      </c>
      <c r="Z4" s="65">
        <f>(Z3/Y3)*100</f>
        <v>14.945454545498995</v>
      </c>
      <c r="AA4" s="68">
        <f>(AA3/Y3)*100</f>
        <v>46.436363636378452</v>
      </c>
      <c r="AB4" s="65">
        <f>(AB3/Y3)*100</f>
        <v>4.636363636331887</v>
      </c>
      <c r="AC4" s="66">
        <f>(AC3/Y3)*100</f>
        <v>21.2999999998984</v>
      </c>
    </row>
    <row r="5" spans="1:118">
      <c r="A5" s="39" t="s">
        <v>126</v>
      </c>
      <c r="B5" s="59" t="s">
        <v>127</v>
      </c>
      <c r="C5" s="21">
        <v>46029</v>
      </c>
      <c r="D5" s="33">
        <v>0.3347222222222222</v>
      </c>
      <c r="E5" s="21">
        <v>46029</v>
      </c>
      <c r="F5" s="18">
        <v>0.41666666666666669</v>
      </c>
      <c r="G5" s="21">
        <v>46029</v>
      </c>
      <c r="H5" s="18">
        <v>0.82916666666666672</v>
      </c>
      <c r="I5" s="21">
        <v>46029</v>
      </c>
      <c r="J5" s="18">
        <v>0.86458333333333337</v>
      </c>
      <c r="L5" s="32"/>
      <c r="M5" s="67">
        <f t="shared" ref="M5:M11" si="5">(E5+F5)-(C5+D5)</f>
        <v>8.1944444442342501E-2</v>
      </c>
      <c r="N5" s="67">
        <f t="shared" ref="N5:N11" si="6">(G5+H5)-(E5+F5)</f>
        <v>0.41250000000582077</v>
      </c>
      <c r="O5" s="67">
        <f t="shared" ref="O5:O11" si="7">(I5+J5)-(G5+H5)</f>
        <v>3.5416666665696539E-2</v>
      </c>
      <c r="P5" s="67">
        <f t="shared" ref="P5:P11" si="8">(C6+D6)-(I5+J5)</f>
        <v>0.11944444444088731</v>
      </c>
      <c r="S5" s="62">
        <f t="shared" ref="S5:S11" si="9">1440*M5</f>
        <v>117.9999999969732</v>
      </c>
      <c r="T5" s="62">
        <f t="shared" ref="T5:T11" si="10">1440*N5</f>
        <v>594.0000000083819</v>
      </c>
      <c r="U5" s="62">
        <f t="shared" ref="U5:U11" si="11">1440*O5</f>
        <v>50.999999998603016</v>
      </c>
      <c r="V5" s="62">
        <f t="shared" ref="V5:V11" si="12">1440*P5</f>
        <v>171.99999999487773</v>
      </c>
    </row>
    <row r="6" spans="1:118">
      <c r="A6" s="39" t="s">
        <v>126</v>
      </c>
      <c r="B6" s="59" t="s">
        <v>127</v>
      </c>
      <c r="C6" s="21">
        <v>46029</v>
      </c>
      <c r="D6" s="33">
        <v>0.98402777777777772</v>
      </c>
      <c r="E6" s="21">
        <v>46030</v>
      </c>
      <c r="F6" s="18">
        <v>0.13263888888888889</v>
      </c>
      <c r="G6" s="21">
        <v>46030</v>
      </c>
      <c r="H6" s="18">
        <v>0.55277777777777781</v>
      </c>
      <c r="I6" s="21">
        <v>46030</v>
      </c>
      <c r="J6" s="18">
        <v>0.59583333333333333</v>
      </c>
      <c r="L6" s="32"/>
      <c r="M6" s="67">
        <f t="shared" si="5"/>
        <v>0.148611111115315</v>
      </c>
      <c r="N6" s="67">
        <f t="shared" si="6"/>
        <v>0.42013888888322981</v>
      </c>
      <c r="O6" s="67">
        <f t="shared" si="7"/>
        <v>4.3055555557657499E-2</v>
      </c>
      <c r="P6" s="67">
        <f t="shared" si="8"/>
        <v>0.22291666666569654</v>
      </c>
      <c r="S6" s="62">
        <f t="shared" si="9"/>
        <v>214.0000000060536</v>
      </c>
      <c r="T6" s="62">
        <f t="shared" si="10"/>
        <v>604.99999999185093</v>
      </c>
      <c r="U6" s="62">
        <f t="shared" si="11"/>
        <v>62.000000003026798</v>
      </c>
      <c r="V6" s="62">
        <f t="shared" si="12"/>
        <v>320.99999999860302</v>
      </c>
    </row>
    <row r="7" spans="1:118">
      <c r="A7" s="39" t="s">
        <v>126</v>
      </c>
      <c r="B7" s="59" t="s">
        <v>127</v>
      </c>
      <c r="C7" s="21">
        <v>46030</v>
      </c>
      <c r="D7" s="33">
        <v>0.81874999999999998</v>
      </c>
      <c r="E7" s="21">
        <v>46030</v>
      </c>
      <c r="F7" s="18">
        <v>0.94791666666666663</v>
      </c>
      <c r="G7" s="21">
        <v>46031</v>
      </c>
      <c r="H7" s="18">
        <v>5.6250000000000001E-2</v>
      </c>
      <c r="I7" s="21">
        <v>46031</v>
      </c>
      <c r="J7" s="18">
        <v>7.4999999999999997E-2</v>
      </c>
      <c r="L7" s="32"/>
      <c r="M7" s="67">
        <f t="shared" si="5"/>
        <v>0.12916666666569654</v>
      </c>
      <c r="N7" s="67">
        <f t="shared" si="6"/>
        <v>0.10833333333721384</v>
      </c>
      <c r="O7" s="67">
        <f t="shared" si="7"/>
        <v>1.8749999995634425E-2</v>
      </c>
      <c r="P7" s="67">
        <f t="shared" si="8"/>
        <v>7.4305555557657499E-2</v>
      </c>
      <c r="S7" s="62">
        <f t="shared" si="9"/>
        <v>185.99999999860302</v>
      </c>
      <c r="T7" s="62">
        <f t="shared" si="10"/>
        <v>156.00000000558794</v>
      </c>
      <c r="U7" s="62">
        <f t="shared" si="11"/>
        <v>26.999999993713573</v>
      </c>
      <c r="V7" s="62">
        <f t="shared" si="12"/>
        <v>107.0000000030268</v>
      </c>
    </row>
    <row r="8" spans="1:118">
      <c r="A8" s="39" t="s">
        <v>126</v>
      </c>
      <c r="B8" s="59" t="s">
        <v>127</v>
      </c>
      <c r="C8" s="21">
        <v>46031</v>
      </c>
      <c r="D8" s="33">
        <v>0.14930555555555555</v>
      </c>
      <c r="E8" s="21">
        <v>46031</v>
      </c>
      <c r="F8" s="18">
        <v>0.26944444444444443</v>
      </c>
      <c r="G8" s="21">
        <v>46031</v>
      </c>
      <c r="H8" s="18">
        <v>0.76736111111111116</v>
      </c>
      <c r="I8" s="21">
        <v>46031</v>
      </c>
      <c r="J8" s="18">
        <v>0.81597222222222221</v>
      </c>
      <c r="L8" s="32"/>
      <c r="M8" s="67">
        <f t="shared" si="5"/>
        <v>0.12013888888759539</v>
      </c>
      <c r="N8" s="67">
        <f t="shared" si="6"/>
        <v>0.49791666666715173</v>
      </c>
      <c r="O8" s="67">
        <f t="shared" si="7"/>
        <v>4.8611111109494232E-2</v>
      </c>
      <c r="P8" s="67">
        <f t="shared" si="8"/>
        <v>0.16736111111094942</v>
      </c>
      <c r="S8" s="62">
        <f t="shared" si="9"/>
        <v>172.99999999813735</v>
      </c>
      <c r="T8" s="62">
        <f t="shared" si="10"/>
        <v>717.00000000069849</v>
      </c>
      <c r="U8" s="62">
        <f t="shared" si="11"/>
        <v>69.999999997671694</v>
      </c>
      <c r="V8" s="62">
        <f t="shared" si="12"/>
        <v>240.99999999976717</v>
      </c>
    </row>
    <row r="9" spans="1:118">
      <c r="A9" s="39" t="s">
        <v>126</v>
      </c>
      <c r="B9" s="59" t="s">
        <v>127</v>
      </c>
      <c r="C9" s="21">
        <v>46031</v>
      </c>
      <c r="D9" s="33">
        <v>0.98333333333333328</v>
      </c>
      <c r="E9" s="21">
        <v>46032</v>
      </c>
      <c r="F9" s="18">
        <v>0.11041666666666666</v>
      </c>
      <c r="G9" s="21">
        <v>46032</v>
      </c>
      <c r="H9" s="18">
        <v>0.51388888888888884</v>
      </c>
      <c r="I9" s="21">
        <v>46032</v>
      </c>
      <c r="J9" s="18">
        <v>0.5625</v>
      </c>
      <c r="L9" s="32"/>
      <c r="M9" s="67">
        <f t="shared" si="5"/>
        <v>0.12708333334012423</v>
      </c>
      <c r="N9" s="67">
        <f t="shared" si="6"/>
        <v>0.40347222222044365</v>
      </c>
      <c r="O9" s="67">
        <f t="shared" si="7"/>
        <v>4.8611111109494232E-2</v>
      </c>
      <c r="P9" s="67">
        <f t="shared" si="8"/>
        <v>0.12638888888614019</v>
      </c>
      <c r="S9" s="62">
        <f t="shared" si="9"/>
        <v>183.00000000977889</v>
      </c>
      <c r="T9" s="62">
        <f t="shared" si="10"/>
        <v>580.99999999743886</v>
      </c>
      <c r="U9" s="62">
        <f t="shared" si="11"/>
        <v>69.999999997671694</v>
      </c>
      <c r="V9" s="62">
        <f t="shared" si="12"/>
        <v>181.99999999604188</v>
      </c>
    </row>
    <row r="10" spans="1:118">
      <c r="A10" s="39" t="s">
        <v>126</v>
      </c>
      <c r="B10" s="20" t="s">
        <v>127</v>
      </c>
      <c r="C10" s="21">
        <v>46032</v>
      </c>
      <c r="D10" s="33">
        <v>0.68888888888888888</v>
      </c>
      <c r="E10" s="21">
        <v>46032</v>
      </c>
      <c r="F10" s="18">
        <v>0.8208333333333333</v>
      </c>
      <c r="G10" s="21">
        <v>46033</v>
      </c>
      <c r="H10" s="18">
        <v>0.23194444444444445</v>
      </c>
      <c r="I10" s="21">
        <v>46033</v>
      </c>
      <c r="J10" s="18">
        <v>0.27500000000000002</v>
      </c>
      <c r="L10" s="32"/>
      <c r="M10" s="67">
        <f t="shared" si="5"/>
        <v>0.13194444444525288</v>
      </c>
      <c r="N10" s="67">
        <f t="shared" si="6"/>
        <v>0.41111111111240461</v>
      </c>
      <c r="O10" s="67">
        <f t="shared" si="7"/>
        <v>4.3055555557657499E-2</v>
      </c>
      <c r="P10" s="67">
        <f t="shared" si="8"/>
        <v>8.611111110803904E-2</v>
      </c>
      <c r="S10" s="34">
        <f t="shared" si="9"/>
        <v>190.00000000116415</v>
      </c>
      <c r="T10" s="34">
        <f t="shared" si="10"/>
        <v>592.00000000186265</v>
      </c>
      <c r="U10" s="34">
        <f t="shared" si="11"/>
        <v>62.000000003026798</v>
      </c>
      <c r="V10" s="34">
        <f t="shared" si="12"/>
        <v>123.99999999557622</v>
      </c>
    </row>
    <row r="11" spans="1:118" ht="15.75" thickBot="1">
      <c r="A11" s="40" t="s">
        <v>126</v>
      </c>
      <c r="B11" s="82" t="s">
        <v>127</v>
      </c>
      <c r="C11" s="45">
        <v>46033</v>
      </c>
      <c r="D11" s="78">
        <v>0.3611111111111111</v>
      </c>
      <c r="E11" s="45">
        <v>46033</v>
      </c>
      <c r="F11" s="46">
        <v>0.49861111111111112</v>
      </c>
      <c r="G11" s="45">
        <v>46033</v>
      </c>
      <c r="H11" s="46">
        <v>0.96666666666666667</v>
      </c>
      <c r="I11" s="45">
        <v>46034</v>
      </c>
      <c r="J11" s="46">
        <v>3.472222222222222E-3</v>
      </c>
      <c r="L11" s="32"/>
      <c r="M11" s="41">
        <f t="shared" si="5"/>
        <v>0.13750000000436557</v>
      </c>
      <c r="N11" s="41">
        <f t="shared" si="6"/>
        <v>0.46805555555329192</v>
      </c>
      <c r="O11" s="41">
        <f t="shared" si="7"/>
        <v>3.6805555551836733E-2</v>
      </c>
      <c r="P11" s="41">
        <f t="shared" si="8"/>
        <v>0.14513888888905058</v>
      </c>
      <c r="S11" s="83">
        <f t="shared" si="9"/>
        <v>198.00000000628643</v>
      </c>
      <c r="T11" s="83">
        <f t="shared" si="10"/>
        <v>673.99999999674037</v>
      </c>
      <c r="U11" s="83">
        <f t="shared" si="11"/>
        <v>52.999999994644895</v>
      </c>
      <c r="V11" s="83">
        <f t="shared" si="12"/>
        <v>209.00000000023283</v>
      </c>
    </row>
    <row r="12" spans="1:118" s="5" customFormat="1" ht="15.75" thickBot="1">
      <c r="A12" s="79" t="s">
        <v>155</v>
      </c>
      <c r="B12" s="59" t="s">
        <v>156</v>
      </c>
      <c r="C12" s="37">
        <v>46034</v>
      </c>
      <c r="D12" s="73">
        <v>0.14861111111111111</v>
      </c>
      <c r="E12" s="37">
        <v>46034</v>
      </c>
      <c r="F12" s="74">
        <v>0.24583333333333332</v>
      </c>
      <c r="G12" s="37">
        <v>46034</v>
      </c>
      <c r="H12" s="74">
        <v>0.90902777777777777</v>
      </c>
      <c r="I12" s="37">
        <v>46034</v>
      </c>
      <c r="J12" s="74">
        <v>0.95138888888888884</v>
      </c>
      <c r="M12" s="67">
        <f t="shared" ref="M12" si="13">(E12+F12)-(C12+D12)</f>
        <v>9.7222222226264421E-2</v>
      </c>
      <c r="N12" s="67">
        <f t="shared" ref="N12" si="14">(G12+H12)-(E12+F12)</f>
        <v>0.66319444444525288</v>
      </c>
      <c r="O12" s="67">
        <f t="shared" ref="O12" si="15">(I12+J12)-(G12+H12)</f>
        <v>4.2361111110949423E-2</v>
      </c>
      <c r="P12" s="67">
        <f t="shared" ref="P12" si="16">(C13+D13)-(I12+J12)</f>
        <v>2.4305555554747116E-2</v>
      </c>
      <c r="S12" s="62">
        <f t="shared" ref="S12:S18" si="17">1440*M12</f>
        <v>140.00000000582077</v>
      </c>
      <c r="T12" s="62">
        <f t="shared" ref="T12:T18" si="18">1440*N12</f>
        <v>955.00000000116415</v>
      </c>
      <c r="U12" s="62">
        <f t="shared" ref="U12:U18" si="19">1440*O12</f>
        <v>60.999999999767169</v>
      </c>
      <c r="V12" s="62">
        <f t="shared" ref="V12:V18" si="20">1440*P12</f>
        <v>34.999999998835847</v>
      </c>
      <c r="W12" s="50"/>
      <c r="X12" s="61" t="s">
        <v>86</v>
      </c>
      <c r="Y12" s="61">
        <v>11000</v>
      </c>
      <c r="Z12" s="63">
        <f>SUM(S12:S20)</f>
        <v>1672.0000000018626</v>
      </c>
      <c r="AA12" s="63">
        <f>SUM(T12:T20)</f>
        <v>5623.0000000144355</v>
      </c>
      <c r="AB12" s="63">
        <f>SUM(U12:U20)</f>
        <v>522.99999998649582</v>
      </c>
      <c r="AC12" s="64">
        <f>SUM(V12:V20)</f>
        <v>2341.0000000032596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</row>
    <row r="13" spans="1:118" ht="15.75" thickBot="1">
      <c r="A13" s="79" t="s">
        <v>155</v>
      </c>
      <c r="B13" s="20" t="s">
        <v>156</v>
      </c>
      <c r="C13" s="80">
        <v>46034</v>
      </c>
      <c r="D13" s="33">
        <v>0.97569444444444442</v>
      </c>
      <c r="E13" s="80">
        <v>46035</v>
      </c>
      <c r="F13" s="18">
        <v>8.819444444444445E-2</v>
      </c>
      <c r="G13" s="80">
        <v>46035</v>
      </c>
      <c r="H13" s="18">
        <v>0.60416666666666663</v>
      </c>
      <c r="I13" s="80">
        <v>46035</v>
      </c>
      <c r="J13" s="18">
        <v>0.64236111111111116</v>
      </c>
      <c r="M13" s="67">
        <f t="shared" ref="M13:M18" si="21">(E13+F13)-(C13+D13)</f>
        <v>0.11249999999563443</v>
      </c>
      <c r="N13" s="67">
        <f t="shared" ref="N13:N18" si="22">(G13+H13)-(E13+F13)</f>
        <v>0.51597222222335404</v>
      </c>
      <c r="O13" s="67">
        <f t="shared" ref="O13:O18" si="23">(I13+J13)-(G13+H13)</f>
        <v>3.8194444445252884E-2</v>
      </c>
      <c r="P13" s="67">
        <f t="shared" ref="P13:P18" si="24">(C14+D14)-(I13+J13)</f>
        <v>5.5555555554747116E-2</v>
      </c>
      <c r="S13" s="62">
        <f t="shared" si="17"/>
        <v>161.99999999371357</v>
      </c>
      <c r="T13" s="62">
        <f t="shared" si="18"/>
        <v>743.00000000162981</v>
      </c>
      <c r="U13" s="62">
        <f t="shared" si="19"/>
        <v>55.000000001164153</v>
      </c>
      <c r="V13" s="62">
        <f t="shared" si="20"/>
        <v>79.999999998835847</v>
      </c>
      <c r="Z13" s="65">
        <f>(Z12/Y12)*100</f>
        <v>15.200000000016933</v>
      </c>
      <c r="AA13" s="68">
        <f>(AA12/Y12)*100</f>
        <v>51.118181818313047</v>
      </c>
      <c r="AB13" s="65">
        <f>(AB12/Y12)*100</f>
        <v>4.7545454544226891</v>
      </c>
      <c r="AC13" s="66">
        <f>(AC12/Y12)*100</f>
        <v>21.281818181847814</v>
      </c>
    </row>
    <row r="14" spans="1:118">
      <c r="A14" s="79" t="s">
        <v>155</v>
      </c>
      <c r="B14" s="20" t="s">
        <v>156</v>
      </c>
      <c r="C14" s="80">
        <v>46035</v>
      </c>
      <c r="D14" s="33">
        <v>0.69791666666666663</v>
      </c>
      <c r="E14" s="80">
        <v>46035</v>
      </c>
      <c r="F14" s="18">
        <v>0.84513888888888888</v>
      </c>
      <c r="G14" s="80">
        <v>46036</v>
      </c>
      <c r="H14" s="18">
        <v>0.24652777777777779</v>
      </c>
      <c r="I14" s="80">
        <v>46036</v>
      </c>
      <c r="J14" s="18">
        <v>0.28888888888888886</v>
      </c>
      <c r="M14" s="67">
        <f t="shared" si="21"/>
        <v>0.14722222222189885</v>
      </c>
      <c r="N14" s="67">
        <f t="shared" si="22"/>
        <v>0.40138888889487134</v>
      </c>
      <c r="O14" s="67">
        <f t="shared" si="23"/>
        <v>4.2361111110949423E-2</v>
      </c>
      <c r="P14" s="67">
        <f t="shared" si="24"/>
        <v>0.35347222221753327</v>
      </c>
      <c r="S14" s="62">
        <f t="shared" si="17"/>
        <v>211.99999999953434</v>
      </c>
      <c r="T14" s="62">
        <f t="shared" si="18"/>
        <v>578.00000000861473</v>
      </c>
      <c r="U14" s="62">
        <f t="shared" si="19"/>
        <v>60.999999999767169</v>
      </c>
      <c r="V14" s="62">
        <f t="shared" si="20"/>
        <v>508.99999999324791</v>
      </c>
    </row>
    <row r="15" spans="1:118">
      <c r="A15" s="79" t="s">
        <v>155</v>
      </c>
      <c r="B15" s="20" t="s">
        <v>156</v>
      </c>
      <c r="C15" s="80">
        <v>46036</v>
      </c>
      <c r="D15" s="33">
        <v>0.64236111111111116</v>
      </c>
      <c r="E15" s="80">
        <v>46036</v>
      </c>
      <c r="F15" s="18">
        <v>0.87361111111111112</v>
      </c>
      <c r="G15" s="80">
        <v>46037</v>
      </c>
      <c r="H15" s="18">
        <v>0.25486111111111109</v>
      </c>
      <c r="I15" s="80">
        <v>46037</v>
      </c>
      <c r="J15" s="18">
        <v>0.29791666666666666</v>
      </c>
      <c r="M15" s="67">
        <f t="shared" si="21"/>
        <v>0.23125000000436557</v>
      </c>
      <c r="N15" s="67">
        <f t="shared" si="22"/>
        <v>0.38124999999854481</v>
      </c>
      <c r="O15" s="67">
        <f t="shared" si="23"/>
        <v>4.3055555557657499E-2</v>
      </c>
      <c r="P15" s="67">
        <f t="shared" si="24"/>
        <v>0.16805555555038154</v>
      </c>
      <c r="S15" s="62">
        <f t="shared" si="17"/>
        <v>333.00000000628643</v>
      </c>
      <c r="T15" s="62">
        <f t="shared" si="18"/>
        <v>548.99999999790452</v>
      </c>
      <c r="U15" s="62">
        <f t="shared" si="19"/>
        <v>62.000000003026798</v>
      </c>
      <c r="V15" s="62">
        <f t="shared" si="20"/>
        <v>241.99999999254942</v>
      </c>
    </row>
    <row r="16" spans="1:118">
      <c r="A16" s="79" t="s">
        <v>155</v>
      </c>
      <c r="B16" s="20" t="s">
        <v>156</v>
      </c>
      <c r="C16" s="80">
        <v>46037</v>
      </c>
      <c r="D16" s="33">
        <v>0.46597222222222223</v>
      </c>
      <c r="E16" s="80">
        <v>46037</v>
      </c>
      <c r="F16" s="18">
        <v>0.59930555555555554</v>
      </c>
      <c r="G16" s="80">
        <v>46037</v>
      </c>
      <c r="H16" s="18">
        <v>0.93402777777777779</v>
      </c>
      <c r="I16" s="80">
        <v>46037</v>
      </c>
      <c r="J16" s="18">
        <v>0.97083333333333333</v>
      </c>
      <c r="M16" s="67">
        <f t="shared" si="21"/>
        <v>0.13333333333866904</v>
      </c>
      <c r="N16" s="67">
        <f t="shared" si="22"/>
        <v>0.33472222222189885</v>
      </c>
      <c r="O16" s="67">
        <f t="shared" si="23"/>
        <v>3.6805555551836733E-2</v>
      </c>
      <c r="P16" s="67">
        <f t="shared" si="24"/>
        <v>0.56527777777955635</v>
      </c>
      <c r="S16" s="62">
        <f t="shared" si="17"/>
        <v>192.00000000768341</v>
      </c>
      <c r="T16" s="62">
        <f t="shared" si="18"/>
        <v>481.99999999953434</v>
      </c>
      <c r="U16" s="62">
        <f t="shared" si="19"/>
        <v>52.999999994644895</v>
      </c>
      <c r="V16" s="62">
        <f t="shared" si="20"/>
        <v>814.00000000256114</v>
      </c>
    </row>
    <row r="17" spans="1:118">
      <c r="A17" s="79" t="s">
        <v>155</v>
      </c>
      <c r="B17" s="20" t="s">
        <v>156</v>
      </c>
      <c r="C17" s="80">
        <v>46038</v>
      </c>
      <c r="D17" s="33">
        <v>0.53611111111111109</v>
      </c>
      <c r="E17" s="80">
        <v>46038</v>
      </c>
      <c r="F17" s="18">
        <v>0.65347222222222223</v>
      </c>
      <c r="G17" s="80">
        <v>46039</v>
      </c>
      <c r="H17" s="18">
        <v>1.8055555555555554E-2</v>
      </c>
      <c r="I17" s="80">
        <v>46039</v>
      </c>
      <c r="J17" s="18">
        <v>7.9861111111111105E-2</v>
      </c>
      <c r="M17" s="67">
        <f t="shared" si="21"/>
        <v>0.11736111110803904</v>
      </c>
      <c r="N17" s="67">
        <f t="shared" si="22"/>
        <v>0.36458333333575865</v>
      </c>
      <c r="O17" s="67">
        <f t="shared" si="23"/>
        <v>6.1805555553291924E-2</v>
      </c>
      <c r="P17" s="67">
        <f t="shared" si="24"/>
        <v>5.9027777781011537E-2</v>
      </c>
      <c r="S17" s="62">
        <f t="shared" si="17"/>
        <v>168.99999999557622</v>
      </c>
      <c r="T17" s="62">
        <f t="shared" si="18"/>
        <v>525.00000000349246</v>
      </c>
      <c r="U17" s="62">
        <f t="shared" si="19"/>
        <v>88.999999996740371</v>
      </c>
      <c r="V17" s="62">
        <f t="shared" si="20"/>
        <v>85.000000004656613</v>
      </c>
    </row>
    <row r="18" spans="1:118">
      <c r="A18" s="79" t="s">
        <v>155</v>
      </c>
      <c r="B18" s="20" t="s">
        <v>156</v>
      </c>
      <c r="C18" s="21">
        <v>46039</v>
      </c>
      <c r="D18" s="33">
        <v>0.1388888888888889</v>
      </c>
      <c r="E18" s="21">
        <v>46039</v>
      </c>
      <c r="F18" s="18">
        <v>0.25694444444444442</v>
      </c>
      <c r="G18" s="21">
        <v>46039</v>
      </c>
      <c r="H18" s="18">
        <v>0.63263888888888886</v>
      </c>
      <c r="I18" s="21">
        <v>46039</v>
      </c>
      <c r="J18" s="18">
        <v>0.66736111111111107</v>
      </c>
      <c r="M18" s="67">
        <f t="shared" si="21"/>
        <v>0.11805555555474712</v>
      </c>
      <c r="N18" s="67">
        <f t="shared" si="22"/>
        <v>0.37569444444670808</v>
      </c>
      <c r="O18" s="67">
        <f t="shared" si="23"/>
        <v>3.4722222218988463E-2</v>
      </c>
      <c r="P18" s="67">
        <f t="shared" si="24"/>
        <v>2.5000000001455192E-2</v>
      </c>
      <c r="S18" s="62">
        <f t="shared" si="17"/>
        <v>169.99999999883585</v>
      </c>
      <c r="T18" s="62">
        <f t="shared" si="18"/>
        <v>541.00000000325963</v>
      </c>
      <c r="U18" s="62">
        <f t="shared" si="19"/>
        <v>49.999999995343387</v>
      </c>
      <c r="V18" s="62">
        <f t="shared" si="20"/>
        <v>36.000000002095476</v>
      </c>
    </row>
    <row r="19" spans="1:118">
      <c r="A19" s="79" t="s">
        <v>155</v>
      </c>
      <c r="B19" s="20" t="s">
        <v>156</v>
      </c>
      <c r="C19" s="21">
        <v>46039</v>
      </c>
      <c r="D19" s="33">
        <v>0.69236111111111109</v>
      </c>
      <c r="E19" s="21">
        <v>46039</v>
      </c>
      <c r="F19" s="18">
        <v>0.80555555555555547</v>
      </c>
      <c r="G19" s="21">
        <v>46040</v>
      </c>
      <c r="H19" s="18">
        <v>0.15694444444444444</v>
      </c>
      <c r="I19" s="21">
        <v>46040</v>
      </c>
      <c r="J19" s="18">
        <v>0.19166666666666665</v>
      </c>
      <c r="K19" s="50"/>
      <c r="L19" s="85"/>
      <c r="M19" s="67">
        <f t="shared" ref="M19:M34" si="25">(E19+F19)-(C19+D19)</f>
        <v>0.1131944444423425</v>
      </c>
      <c r="N19" s="67">
        <f t="shared" ref="N19:N34" si="26">(G19+H19)-(E19+F19)</f>
        <v>0.35138888889196096</v>
      </c>
      <c r="O19" s="67">
        <f t="shared" ref="O19:O34" si="27">(I19+J19)-(G19+H19)</f>
        <v>3.4722222218988463E-2</v>
      </c>
      <c r="P19" s="67">
        <f t="shared" ref="P19:P34" si="28">(C20+D20)-(I19+J19)</f>
        <v>0.31597222222626442</v>
      </c>
      <c r="R19" s="85"/>
      <c r="S19" s="62">
        <f t="shared" ref="S19:S34" si="29">1440*M19</f>
        <v>162.9999999969732</v>
      </c>
      <c r="T19" s="62">
        <f t="shared" ref="T19:T34" si="30">1440*N19</f>
        <v>506.00000000442378</v>
      </c>
      <c r="U19" s="62">
        <f t="shared" ref="U19:U34" si="31">1440*O19</f>
        <v>49.999999995343387</v>
      </c>
      <c r="V19" s="62">
        <f t="shared" ref="V19:V34" si="32">1440*P19</f>
        <v>455.00000000582077</v>
      </c>
    </row>
    <row r="20" spans="1:118" s="10" customFormat="1" ht="15.75" thickBot="1">
      <c r="A20" s="75" t="s">
        <v>155</v>
      </c>
      <c r="B20" s="51" t="s">
        <v>156</v>
      </c>
      <c r="C20" s="45">
        <v>46040</v>
      </c>
      <c r="D20" s="78">
        <v>0.50763888888888886</v>
      </c>
      <c r="E20" s="45">
        <v>46040</v>
      </c>
      <c r="F20" s="46">
        <v>0.59861111111111109</v>
      </c>
      <c r="G20" s="45">
        <v>46041</v>
      </c>
      <c r="H20" s="46">
        <v>0.11527777777777778</v>
      </c>
      <c r="I20" s="45">
        <v>46041</v>
      </c>
      <c r="J20" s="91">
        <v>0.14444444444444443</v>
      </c>
      <c r="K20"/>
      <c r="L20"/>
      <c r="M20" s="41">
        <f t="shared" si="25"/>
        <v>9.0972222220443655E-2</v>
      </c>
      <c r="N20" s="41">
        <f t="shared" si="26"/>
        <v>0.51666666666278616</v>
      </c>
      <c r="O20" s="41">
        <f t="shared" si="27"/>
        <v>2.9166666667151731E-2</v>
      </c>
      <c r="P20" s="41">
        <f t="shared" si="28"/>
        <v>5.9027777781011537E-2</v>
      </c>
      <c r="Q20" s="50"/>
      <c r="R20"/>
      <c r="S20" s="90">
        <f t="shared" si="29"/>
        <v>130.99999999743886</v>
      </c>
      <c r="T20" s="90">
        <f t="shared" si="30"/>
        <v>743.99999999441206</v>
      </c>
      <c r="U20" s="90">
        <f t="shared" si="31"/>
        <v>42.000000000698492</v>
      </c>
      <c r="V20" s="90">
        <f t="shared" si="32"/>
        <v>85.000000004656613</v>
      </c>
      <c r="W20" s="5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</row>
    <row r="21" spans="1:118" ht="15.75" thickBot="1">
      <c r="A21" s="79" t="s">
        <v>175</v>
      </c>
      <c r="B21" s="59" t="s">
        <v>176</v>
      </c>
      <c r="C21" s="37">
        <v>46041</v>
      </c>
      <c r="D21" s="73">
        <v>0.20347222222222222</v>
      </c>
      <c r="E21" s="37">
        <v>46041</v>
      </c>
      <c r="F21" s="74">
        <v>0.38472222222222224</v>
      </c>
      <c r="G21" s="37">
        <v>46041</v>
      </c>
      <c r="H21" s="74">
        <v>0.87986111111111109</v>
      </c>
      <c r="I21" s="37">
        <v>46041</v>
      </c>
      <c r="J21" s="74">
        <v>0.93194444444444446</v>
      </c>
      <c r="K21" s="50"/>
      <c r="L21" s="85"/>
      <c r="M21" s="67">
        <f t="shared" si="25"/>
        <v>0.18125000000145519</v>
      </c>
      <c r="N21" s="67">
        <f t="shared" si="26"/>
        <v>0.49513888888759539</v>
      </c>
      <c r="O21" s="67">
        <f t="shared" si="27"/>
        <v>5.2083333328482695E-2</v>
      </c>
      <c r="P21" s="67">
        <f t="shared" si="28"/>
        <v>6.1111111113859806E-2</v>
      </c>
      <c r="R21" s="85"/>
      <c r="S21" s="62">
        <f t="shared" si="29"/>
        <v>261.00000000209548</v>
      </c>
      <c r="T21" s="62">
        <f t="shared" si="30"/>
        <v>712.99999999813735</v>
      </c>
      <c r="U21" s="62">
        <f t="shared" si="31"/>
        <v>74.999999993015081</v>
      </c>
      <c r="V21" s="62">
        <f t="shared" si="32"/>
        <v>88.000000003958121</v>
      </c>
      <c r="X21" s="61" t="s">
        <v>86</v>
      </c>
      <c r="Y21" s="61">
        <v>11000</v>
      </c>
      <c r="Z21" s="63">
        <f>SUM(S21:S28)</f>
        <v>1519.9999999883585</v>
      </c>
      <c r="AA21" s="63">
        <f>SUM(T21:T28)</f>
        <v>5740.0000000081491</v>
      </c>
      <c r="AB21" s="63">
        <f>SUM(U21:U28)</f>
        <v>521.00000000093132</v>
      </c>
      <c r="AC21" s="64">
        <f>SUM(V21:V28)</f>
        <v>1425.0000000034925</v>
      </c>
    </row>
    <row r="22" spans="1:118" ht="15.75" thickBot="1">
      <c r="A22" s="79" t="s">
        <v>175</v>
      </c>
      <c r="B22" s="59" t="s">
        <v>176</v>
      </c>
      <c r="C22" s="80">
        <v>46041</v>
      </c>
      <c r="D22" s="33">
        <v>0.99305555555555558</v>
      </c>
      <c r="E22" s="80">
        <v>46042</v>
      </c>
      <c r="F22" s="18">
        <v>0.13958333333333334</v>
      </c>
      <c r="G22" s="80">
        <v>46042</v>
      </c>
      <c r="H22" s="18">
        <v>0.55833333333333335</v>
      </c>
      <c r="I22" s="80">
        <v>46042</v>
      </c>
      <c r="J22" s="18">
        <v>0.59027777777777779</v>
      </c>
      <c r="M22" s="67">
        <f t="shared" si="25"/>
        <v>0.14652777777519077</v>
      </c>
      <c r="N22" s="67">
        <f t="shared" si="26"/>
        <v>0.41875000000436557</v>
      </c>
      <c r="O22" s="67">
        <f t="shared" si="27"/>
        <v>3.1944444446708076E-2</v>
      </c>
      <c r="P22" s="67">
        <f t="shared" si="28"/>
        <v>0.226388888884685</v>
      </c>
      <c r="S22" s="62">
        <f t="shared" si="29"/>
        <v>210.99999999627471</v>
      </c>
      <c r="T22" s="62">
        <f t="shared" si="30"/>
        <v>603.00000000628643</v>
      </c>
      <c r="U22" s="62">
        <f t="shared" si="31"/>
        <v>46.000000003259629</v>
      </c>
      <c r="V22" s="62">
        <f t="shared" si="32"/>
        <v>325.9999999939464</v>
      </c>
      <c r="Z22" s="65">
        <f>(Z21/Y21)*100</f>
        <v>13.818181818075987</v>
      </c>
      <c r="AA22" s="68">
        <f>(AA21/Y21)*100</f>
        <v>52.181818181892261</v>
      </c>
      <c r="AB22" s="65">
        <f>(AB21/Y21)*100</f>
        <v>4.7363636363721024</v>
      </c>
      <c r="AC22" s="66">
        <f>(AC21/Y21)*100</f>
        <v>12.954545454577204</v>
      </c>
    </row>
    <row r="23" spans="1:118">
      <c r="A23" s="79" t="s">
        <v>175</v>
      </c>
      <c r="B23" s="59" t="s">
        <v>176</v>
      </c>
      <c r="C23" s="80">
        <v>46042</v>
      </c>
      <c r="D23" s="33">
        <v>0.81666666666666665</v>
      </c>
      <c r="E23" s="80">
        <v>46042</v>
      </c>
      <c r="F23" s="18">
        <v>0.94930555555555551</v>
      </c>
      <c r="G23" s="80">
        <v>46043</v>
      </c>
      <c r="H23" s="18">
        <v>0.35138888888888892</v>
      </c>
      <c r="I23" s="80">
        <v>46043</v>
      </c>
      <c r="J23" s="18">
        <v>0.3840277777777778</v>
      </c>
      <c r="M23" s="67">
        <f t="shared" si="25"/>
        <v>0.13263888889196096</v>
      </c>
      <c r="N23" s="67">
        <f t="shared" si="26"/>
        <v>0.40208333333430346</v>
      </c>
      <c r="O23" s="67">
        <f t="shared" si="27"/>
        <v>3.2638888886140194E-2</v>
      </c>
      <c r="P23" s="67">
        <f t="shared" si="28"/>
        <v>0.14791666666860692</v>
      </c>
      <c r="S23" s="62">
        <f t="shared" si="29"/>
        <v>191.00000000442378</v>
      </c>
      <c r="T23" s="62">
        <f t="shared" si="30"/>
        <v>579.00000000139698</v>
      </c>
      <c r="U23" s="62">
        <f t="shared" si="31"/>
        <v>46.999999996041879</v>
      </c>
      <c r="V23" s="62">
        <f t="shared" si="32"/>
        <v>213.00000000279397</v>
      </c>
    </row>
    <row r="24" spans="1:118">
      <c r="A24" s="79" t="s">
        <v>175</v>
      </c>
      <c r="B24" s="59" t="s">
        <v>176</v>
      </c>
      <c r="C24" s="80">
        <v>46043</v>
      </c>
      <c r="D24" s="33">
        <v>0.53194444444444444</v>
      </c>
      <c r="E24" s="80">
        <v>46043</v>
      </c>
      <c r="F24" s="18">
        <v>0.65347222222222223</v>
      </c>
      <c r="G24" s="80">
        <v>46044</v>
      </c>
      <c r="H24" s="18">
        <v>7.7777777777777779E-2</v>
      </c>
      <c r="I24" s="80">
        <v>46044</v>
      </c>
      <c r="J24" s="18">
        <v>0.13055555555555556</v>
      </c>
      <c r="M24" s="67">
        <f t="shared" si="25"/>
        <v>0.12152777777373558</v>
      </c>
      <c r="N24" s="67">
        <f t="shared" si="26"/>
        <v>0.42430555555620231</v>
      </c>
      <c r="O24" s="67">
        <f t="shared" si="27"/>
        <v>5.2777777782466728E-2</v>
      </c>
      <c r="P24" s="67">
        <f t="shared" si="28"/>
        <v>8.4027777775190771E-2</v>
      </c>
      <c r="S24" s="62">
        <f t="shared" si="29"/>
        <v>174.99999999417923</v>
      </c>
      <c r="T24" s="62">
        <f t="shared" si="30"/>
        <v>611.00000000093132</v>
      </c>
      <c r="U24" s="62">
        <f t="shared" si="31"/>
        <v>76.000000006752089</v>
      </c>
      <c r="V24" s="62">
        <f t="shared" si="32"/>
        <v>120.99999999627471</v>
      </c>
    </row>
    <row r="25" spans="1:118">
      <c r="A25" s="79" t="s">
        <v>175</v>
      </c>
      <c r="B25" s="59" t="s">
        <v>176</v>
      </c>
      <c r="C25" s="80">
        <v>46044</v>
      </c>
      <c r="D25" s="33">
        <v>0.21458333333333332</v>
      </c>
      <c r="E25" s="80">
        <v>46044</v>
      </c>
      <c r="F25" s="18">
        <v>0.34305555555555556</v>
      </c>
      <c r="G25" s="80">
        <v>46044</v>
      </c>
      <c r="H25" s="18">
        <v>0.86805555555555558</v>
      </c>
      <c r="I25" s="80">
        <v>46044</v>
      </c>
      <c r="J25" s="18">
        <v>0.94097222222222221</v>
      </c>
      <c r="M25" s="67">
        <f t="shared" si="25"/>
        <v>0.12847222221898846</v>
      </c>
      <c r="N25" s="67">
        <f t="shared" si="26"/>
        <v>0.52500000000145519</v>
      </c>
      <c r="O25" s="67">
        <f t="shared" si="27"/>
        <v>7.2916666664241347E-2</v>
      </c>
      <c r="P25" s="67">
        <f>(C26+D26)-(I25+J25)</f>
        <v>0.28125</v>
      </c>
      <c r="S25" s="62">
        <f t="shared" si="29"/>
        <v>184.99999999534339</v>
      </c>
      <c r="T25" s="62">
        <f t="shared" si="30"/>
        <v>756.00000000209548</v>
      </c>
      <c r="U25" s="62">
        <f t="shared" si="31"/>
        <v>104.99999999650754</v>
      </c>
      <c r="V25" s="62">
        <f t="shared" si="32"/>
        <v>405</v>
      </c>
    </row>
    <row r="26" spans="1:118">
      <c r="A26" s="79" t="s">
        <v>175</v>
      </c>
      <c r="B26" s="59" t="s">
        <v>176</v>
      </c>
      <c r="C26" s="21">
        <v>46045</v>
      </c>
      <c r="D26" s="33">
        <v>0.22222222222222221</v>
      </c>
      <c r="E26" s="21">
        <v>46045</v>
      </c>
      <c r="F26" s="18">
        <v>0.27152777777777776</v>
      </c>
      <c r="G26" s="21">
        <v>46046</v>
      </c>
      <c r="H26" s="18">
        <v>6.9444444444444448E-2</v>
      </c>
      <c r="I26" s="21">
        <v>46046</v>
      </c>
      <c r="J26" s="18">
        <v>0.1125</v>
      </c>
      <c r="M26" s="67">
        <f t="shared" si="25"/>
        <v>4.9305555556202307E-2</v>
      </c>
      <c r="N26" s="67">
        <f t="shared" si="26"/>
        <v>0.79791666667006211</v>
      </c>
      <c r="O26" s="67">
        <f t="shared" si="27"/>
        <v>4.3055555557657499E-2</v>
      </c>
      <c r="P26" s="67">
        <f>(C27+D27)-(I26+J26)</f>
        <v>9.0972222220443655E-2</v>
      </c>
      <c r="S26" s="62">
        <f t="shared" si="29"/>
        <v>71.000000000931323</v>
      </c>
      <c r="T26" s="62">
        <f t="shared" si="30"/>
        <v>1149.0000000048894</v>
      </c>
      <c r="U26" s="62">
        <f t="shared" si="31"/>
        <v>62.000000003026798</v>
      </c>
      <c r="V26" s="62">
        <f t="shared" si="32"/>
        <v>130.99999999743886</v>
      </c>
    </row>
    <row r="27" spans="1:118">
      <c r="A27" s="79" t="s">
        <v>175</v>
      </c>
      <c r="B27" s="59" t="s">
        <v>176</v>
      </c>
      <c r="C27" s="21">
        <v>46046</v>
      </c>
      <c r="D27" s="33">
        <v>0.20347222222222222</v>
      </c>
      <c r="E27" s="21">
        <v>46046</v>
      </c>
      <c r="F27" s="18">
        <v>0.34375</v>
      </c>
      <c r="G27" s="21">
        <v>46046</v>
      </c>
      <c r="H27" s="18">
        <v>0.88541666666666663</v>
      </c>
      <c r="I27" s="21">
        <v>46046</v>
      </c>
      <c r="J27" s="18">
        <v>0.92361111111111116</v>
      </c>
      <c r="M27" s="67">
        <f t="shared" ref="M27" si="33">(E27+F27)-(C27+D27)</f>
        <v>0.14027777777664596</v>
      </c>
      <c r="N27" s="67">
        <f t="shared" ref="N27" si="34">(G27+H27)-(E27+F27)</f>
        <v>0.54166666666424135</v>
      </c>
      <c r="O27" s="67">
        <f t="shared" ref="O27" si="35">(I27+J27)-(G27+H27)</f>
        <v>3.8194444445252884E-2</v>
      </c>
      <c r="P27" s="67">
        <f>(C28+D28)-(I27+J27)</f>
        <v>5.4166666668606922E-2</v>
      </c>
      <c r="S27" s="62">
        <f t="shared" ref="S27" si="36">1440*M27</f>
        <v>201.99999999837019</v>
      </c>
      <c r="T27" s="62">
        <f t="shared" ref="T27" si="37">1440*N27</f>
        <v>779.99999999650754</v>
      </c>
      <c r="U27" s="62">
        <f t="shared" ref="U27" si="38">1440*O27</f>
        <v>55.000000001164153</v>
      </c>
      <c r="V27" s="62">
        <f t="shared" ref="V27" si="39">1440*P27</f>
        <v>78.000000002793968</v>
      </c>
    </row>
    <row r="28" spans="1:118" ht="15.75" thickBot="1">
      <c r="A28" s="75" t="s">
        <v>175</v>
      </c>
      <c r="B28" s="51" t="s">
        <v>176</v>
      </c>
      <c r="C28" s="45">
        <v>46046</v>
      </c>
      <c r="D28" s="78">
        <v>0.97777777777777775</v>
      </c>
      <c r="E28" s="45">
        <v>46047</v>
      </c>
      <c r="F28" s="46">
        <v>0.13333333333333333</v>
      </c>
      <c r="G28" s="45">
        <v>46047</v>
      </c>
      <c r="H28" s="46">
        <v>0.51458333333333328</v>
      </c>
      <c r="I28" s="45">
        <v>46047</v>
      </c>
      <c r="J28" s="46">
        <v>0.55277777777777781</v>
      </c>
      <c r="M28" s="41">
        <f t="shared" si="25"/>
        <v>0.15555555555329192</v>
      </c>
      <c r="N28" s="41">
        <f t="shared" si="26"/>
        <v>0.38124999999854481</v>
      </c>
      <c r="O28" s="41">
        <f t="shared" si="27"/>
        <v>3.8194444445252884E-2</v>
      </c>
      <c r="P28" s="41">
        <f t="shared" si="28"/>
        <v>4.3750000004365575E-2</v>
      </c>
      <c r="S28" s="90">
        <f t="shared" si="29"/>
        <v>223.99999999674037</v>
      </c>
      <c r="T28" s="90">
        <f t="shared" si="30"/>
        <v>548.99999999790452</v>
      </c>
      <c r="U28" s="90">
        <f t="shared" si="31"/>
        <v>55.000000001164153</v>
      </c>
      <c r="V28" s="90">
        <f t="shared" si="32"/>
        <v>63.000000006286427</v>
      </c>
    </row>
    <row r="29" spans="1:118" ht="15.75" thickBot="1">
      <c r="A29" s="79" t="s">
        <v>198</v>
      </c>
      <c r="B29" s="59" t="s">
        <v>199</v>
      </c>
      <c r="C29" s="80">
        <v>46047</v>
      </c>
      <c r="D29" s="73">
        <v>0.59652777777777777</v>
      </c>
      <c r="E29" s="80">
        <v>46047</v>
      </c>
      <c r="F29" s="74">
        <v>0.70833333333333337</v>
      </c>
      <c r="G29" s="80">
        <v>46048</v>
      </c>
      <c r="H29" s="74">
        <v>0.12777777777777777</v>
      </c>
      <c r="I29" s="80">
        <v>46048</v>
      </c>
      <c r="J29" s="74">
        <v>0.17222222222222222</v>
      </c>
      <c r="M29" s="67">
        <f t="shared" si="25"/>
        <v>0.11180555555620231</v>
      </c>
      <c r="N29" s="67">
        <f t="shared" si="26"/>
        <v>0.41944444444379769</v>
      </c>
      <c r="O29" s="67">
        <f t="shared" si="27"/>
        <v>4.4444444443797693E-2</v>
      </c>
      <c r="P29" s="67">
        <f t="shared" si="28"/>
        <v>0.14861111110803904</v>
      </c>
      <c r="S29" s="62">
        <f t="shared" si="29"/>
        <v>161.00000000093132</v>
      </c>
      <c r="T29" s="62">
        <f t="shared" si="30"/>
        <v>603.99999999906868</v>
      </c>
      <c r="U29" s="62">
        <f t="shared" si="31"/>
        <v>63.999999999068677</v>
      </c>
      <c r="V29" s="62">
        <f t="shared" si="32"/>
        <v>213.99999999557622</v>
      </c>
      <c r="X29" s="61" t="s">
        <v>86</v>
      </c>
      <c r="Y29" s="61">
        <v>11000</v>
      </c>
      <c r="Z29" s="63">
        <f>SUM(S29:S35)</f>
        <v>1260.9999999927823</v>
      </c>
      <c r="AA29" s="63">
        <f>SUM(T29:T35)</f>
        <v>4118.0000000121072</v>
      </c>
      <c r="AB29" s="63">
        <f>SUM(U29:U35)</f>
        <v>373.99999999324791</v>
      </c>
      <c r="AC29" s="64">
        <f>SUM(V29:V35)</f>
        <v>4492.9999999981374</v>
      </c>
    </row>
    <row r="30" spans="1:118" ht="15.75" thickBot="1">
      <c r="A30" s="92" t="s">
        <v>198</v>
      </c>
      <c r="B30" s="59" t="s">
        <v>199</v>
      </c>
      <c r="C30" s="21">
        <v>46048</v>
      </c>
      <c r="D30" s="33">
        <v>0.32083333333333336</v>
      </c>
      <c r="E30" s="21">
        <v>46048</v>
      </c>
      <c r="F30" s="18">
        <v>0.40069444444444446</v>
      </c>
      <c r="G30" s="21">
        <v>46048</v>
      </c>
      <c r="H30" s="18">
        <v>0.78333333333333333</v>
      </c>
      <c r="I30" s="21">
        <v>46048</v>
      </c>
      <c r="J30" s="18">
        <v>0.84027777777777779</v>
      </c>
      <c r="M30" s="67">
        <f t="shared" si="25"/>
        <v>7.9861111109494232E-2</v>
      </c>
      <c r="N30" s="67">
        <f t="shared" si="26"/>
        <v>0.38263888889196096</v>
      </c>
      <c r="O30" s="67">
        <f t="shared" si="27"/>
        <v>5.6944444448163267E-2</v>
      </c>
      <c r="P30" s="67">
        <f t="shared" si="28"/>
        <v>0.22916666666424135</v>
      </c>
      <c r="S30" s="62">
        <f t="shared" si="29"/>
        <v>114.99999999767169</v>
      </c>
      <c r="T30" s="62">
        <f t="shared" si="30"/>
        <v>551.00000000442378</v>
      </c>
      <c r="U30" s="62">
        <f t="shared" si="31"/>
        <v>82.000000005355105</v>
      </c>
      <c r="V30" s="62">
        <f t="shared" si="32"/>
        <v>329.99999999650754</v>
      </c>
      <c r="Z30" s="65">
        <f>(Z29/Y29)*100</f>
        <v>11.463636363570748</v>
      </c>
      <c r="AA30" s="68">
        <f>(AA29/Y29)*100</f>
        <v>37.4363636364737</v>
      </c>
      <c r="AB30" s="65">
        <f>(AB29/Y29)*100</f>
        <v>3.3999999999386175</v>
      </c>
      <c r="AC30" s="66">
        <f>(AC29/Y29)*100</f>
        <v>40.845454545437612</v>
      </c>
    </row>
    <row r="31" spans="1:118">
      <c r="A31" s="92" t="s">
        <v>198</v>
      </c>
      <c r="B31" s="59" t="s">
        <v>199</v>
      </c>
      <c r="C31" s="21">
        <v>46049</v>
      </c>
      <c r="D31" s="33">
        <v>6.9444444444444448E-2</v>
      </c>
      <c r="E31" s="21">
        <v>46049</v>
      </c>
      <c r="F31" s="18">
        <v>0.14374999999999999</v>
      </c>
      <c r="G31" s="21">
        <v>46049</v>
      </c>
      <c r="H31" s="18">
        <v>0.34375</v>
      </c>
      <c r="I31" s="21">
        <v>46049</v>
      </c>
      <c r="J31" s="18">
        <v>0.3576388888888889</v>
      </c>
      <c r="M31" s="67">
        <f t="shared" si="25"/>
        <v>7.4305555557657499E-2</v>
      </c>
      <c r="N31" s="67">
        <f t="shared" si="26"/>
        <v>0.19999999999708962</v>
      </c>
      <c r="O31" s="67">
        <f t="shared" si="27"/>
        <v>1.3888888890505768E-2</v>
      </c>
      <c r="P31" s="67">
        <f t="shared" si="28"/>
        <v>1.4340277777737356</v>
      </c>
      <c r="S31" s="62">
        <f t="shared" si="29"/>
        <v>107.0000000030268</v>
      </c>
      <c r="T31" s="62">
        <f t="shared" si="30"/>
        <v>287.99999999580905</v>
      </c>
      <c r="U31" s="62">
        <f t="shared" si="31"/>
        <v>20.000000002328306</v>
      </c>
      <c r="V31" s="62">
        <f t="shared" si="32"/>
        <v>2064.9999999941792</v>
      </c>
    </row>
    <row r="32" spans="1:118">
      <c r="A32" s="92" t="s">
        <v>198</v>
      </c>
      <c r="B32" s="59" t="s">
        <v>199</v>
      </c>
      <c r="C32" s="21">
        <v>46050</v>
      </c>
      <c r="D32" s="33">
        <v>0.79166666666666663</v>
      </c>
      <c r="E32" s="21">
        <v>46050</v>
      </c>
      <c r="F32" s="18">
        <v>0.89861111111111114</v>
      </c>
      <c r="G32" s="21">
        <v>46051</v>
      </c>
      <c r="H32" s="18">
        <v>0.45833333333333331</v>
      </c>
      <c r="I32" s="21">
        <v>46051</v>
      </c>
      <c r="J32" s="18">
        <v>0.50902777777777775</v>
      </c>
      <c r="M32" s="67">
        <f t="shared" si="25"/>
        <v>0.10694444444379769</v>
      </c>
      <c r="N32" s="67">
        <f t="shared" si="26"/>
        <v>0.55972222222771961</v>
      </c>
      <c r="O32" s="67">
        <f t="shared" si="27"/>
        <v>5.0694444442342501E-2</v>
      </c>
      <c r="P32" s="67">
        <f t="shared" si="28"/>
        <v>1.0208333333357587</v>
      </c>
      <c r="S32" s="62">
        <f t="shared" si="29"/>
        <v>153.99999999906868</v>
      </c>
      <c r="T32" s="62">
        <f t="shared" si="30"/>
        <v>806.00000000791624</v>
      </c>
      <c r="U32" s="62">
        <f t="shared" si="31"/>
        <v>72.999999996973202</v>
      </c>
      <c r="V32" s="62">
        <f t="shared" si="32"/>
        <v>1470.0000000034925</v>
      </c>
    </row>
    <row r="33" spans="1:29">
      <c r="A33" s="92" t="s">
        <v>198</v>
      </c>
      <c r="B33" s="59" t="s">
        <v>199</v>
      </c>
      <c r="C33" s="21">
        <v>46052</v>
      </c>
      <c r="D33" s="33">
        <v>0.52986111111111112</v>
      </c>
      <c r="E33" s="21">
        <v>46052</v>
      </c>
      <c r="F33" s="18">
        <v>0.69236111111111109</v>
      </c>
      <c r="G33" s="21">
        <v>46053</v>
      </c>
      <c r="H33" s="18">
        <v>0.25069444444444444</v>
      </c>
      <c r="I33" s="21">
        <v>46053</v>
      </c>
      <c r="J33" s="18">
        <v>0.2902777777777778</v>
      </c>
      <c r="M33" s="67">
        <f t="shared" si="25"/>
        <v>0.16249999999854481</v>
      </c>
      <c r="N33" s="67">
        <f t="shared" si="26"/>
        <v>0.55833333333430346</v>
      </c>
      <c r="O33" s="67">
        <f t="shared" si="27"/>
        <v>3.9583333331393078E-2</v>
      </c>
      <c r="P33" s="67">
        <f t="shared" si="28"/>
        <v>8.9583333334303461E-2</v>
      </c>
      <c r="S33" s="62">
        <f t="shared" si="29"/>
        <v>233.99999999790452</v>
      </c>
      <c r="T33" s="62">
        <f t="shared" si="30"/>
        <v>804.00000000139698</v>
      </c>
      <c r="U33" s="62">
        <f t="shared" si="31"/>
        <v>56.999999997206032</v>
      </c>
      <c r="V33" s="62">
        <f t="shared" si="32"/>
        <v>129.00000000139698</v>
      </c>
    </row>
    <row r="34" spans="1:29">
      <c r="A34" s="92" t="s">
        <v>198</v>
      </c>
      <c r="B34" s="59" t="s">
        <v>199</v>
      </c>
      <c r="C34" s="21">
        <v>46053</v>
      </c>
      <c r="D34" s="33">
        <v>0.37986111111111109</v>
      </c>
      <c r="E34" s="21">
        <v>46053</v>
      </c>
      <c r="F34" s="18">
        <v>0.54722222222222228</v>
      </c>
      <c r="G34" s="21">
        <v>46054</v>
      </c>
      <c r="H34" s="18">
        <v>5.5555555555555552E-2</v>
      </c>
      <c r="I34" s="21">
        <v>46054</v>
      </c>
      <c r="J34" s="18">
        <v>8.4027777777777785E-2</v>
      </c>
      <c r="M34" s="67">
        <f t="shared" si="25"/>
        <v>0.16736111111094942</v>
      </c>
      <c r="N34" s="67">
        <f t="shared" si="26"/>
        <v>0.50833333333139308</v>
      </c>
      <c r="O34" s="67">
        <f t="shared" si="27"/>
        <v>2.8472222220443655E-2</v>
      </c>
      <c r="P34" s="67">
        <f t="shared" si="28"/>
        <v>4.8611111116770189E-2</v>
      </c>
      <c r="S34" s="62">
        <f t="shared" si="29"/>
        <v>240.99999999976717</v>
      </c>
      <c r="T34" s="62">
        <f t="shared" si="30"/>
        <v>731.99999999720603</v>
      </c>
      <c r="U34" s="62">
        <f t="shared" si="31"/>
        <v>40.999999997438863</v>
      </c>
      <c r="V34" s="62">
        <f t="shared" si="32"/>
        <v>70.000000008149073</v>
      </c>
    </row>
    <row r="35" spans="1:29" ht="15.75" thickBot="1">
      <c r="A35" s="102" t="s">
        <v>198</v>
      </c>
      <c r="B35" s="51" t="s">
        <v>199</v>
      </c>
      <c r="C35" s="45">
        <v>46054</v>
      </c>
      <c r="D35" s="78">
        <v>0.13263888888888889</v>
      </c>
      <c r="E35" s="45">
        <v>46054</v>
      </c>
      <c r="F35" s="46">
        <v>0.30555555555555558</v>
      </c>
      <c r="G35" s="45">
        <v>46054</v>
      </c>
      <c r="H35" s="46">
        <v>0.53680555555555554</v>
      </c>
      <c r="I35" s="45">
        <v>46054</v>
      </c>
      <c r="J35" s="46">
        <v>0.5625</v>
      </c>
      <c r="M35" s="41">
        <f t="shared" ref="M35:M48" si="40">(E35+F35)-(C35+D35)</f>
        <v>0.17291666666278616</v>
      </c>
      <c r="N35" s="41">
        <f t="shared" ref="N35:N48" si="41">(G35+H35)-(E35+F35)</f>
        <v>0.23125000000436557</v>
      </c>
      <c r="O35" s="41">
        <f>(I35+J35)-(G35+H35)</f>
        <v>2.569444444088731E-2</v>
      </c>
      <c r="P35" s="41">
        <f t="shared" ref="P35:P48" si="42">(C36+D36)-(I35+J35)</f>
        <v>0.14930555555474712</v>
      </c>
      <c r="S35" s="90">
        <f t="shared" ref="S35:S48" si="43">1440*M35</f>
        <v>248.99999999441206</v>
      </c>
      <c r="T35" s="90">
        <f t="shared" ref="T35:T48" si="44">1440*N35</f>
        <v>333.00000000628643</v>
      </c>
      <c r="U35" s="90">
        <f t="shared" ref="U35:U48" si="45">1440*O35</f>
        <v>36.999999994877726</v>
      </c>
      <c r="V35" s="90">
        <f t="shared" ref="V35:V48" si="46">1440*P35</f>
        <v>214.99999999883585</v>
      </c>
    </row>
    <row r="36" spans="1:29" ht="15.75" thickBot="1">
      <c r="A36" s="101" t="s">
        <v>219</v>
      </c>
      <c r="B36" s="59" t="s">
        <v>220</v>
      </c>
      <c r="C36" s="80">
        <v>46054</v>
      </c>
      <c r="D36" s="73">
        <v>0.71180555555555558</v>
      </c>
      <c r="E36" s="80">
        <v>46054</v>
      </c>
      <c r="F36" s="74">
        <v>0.84166666666666667</v>
      </c>
      <c r="G36" s="80">
        <v>46055</v>
      </c>
      <c r="H36" s="74">
        <v>0.33958333333333335</v>
      </c>
      <c r="I36" s="80">
        <v>46055</v>
      </c>
      <c r="J36" s="74">
        <v>0.38333333333333336</v>
      </c>
      <c r="M36" s="67">
        <f t="shared" si="40"/>
        <v>0.12986111111240461</v>
      </c>
      <c r="N36" s="67">
        <f t="shared" si="41"/>
        <v>0.49791666666715173</v>
      </c>
      <c r="O36" s="67">
        <f t="shared" ref="O36:O48" si="47">(I36+J36)-(G36+H36)</f>
        <v>4.3749999997089617E-2</v>
      </c>
      <c r="P36" s="67">
        <f t="shared" si="42"/>
        <v>3.2673611111094942</v>
      </c>
      <c r="S36" s="62">
        <f t="shared" si="43"/>
        <v>187.00000000186265</v>
      </c>
      <c r="T36" s="62">
        <f t="shared" si="44"/>
        <v>717.00000000069849</v>
      </c>
      <c r="U36" s="62">
        <f t="shared" si="45"/>
        <v>62.999999995809048</v>
      </c>
      <c r="V36" s="62">
        <f t="shared" si="46"/>
        <v>4704.9999999976717</v>
      </c>
      <c r="X36" s="61" t="s">
        <v>86</v>
      </c>
      <c r="Y36" s="61">
        <v>11000</v>
      </c>
      <c r="Z36" s="63">
        <f>SUM(S36:S41)</f>
        <v>1193.0000000016298</v>
      </c>
      <c r="AA36" s="63">
        <f>SUM(T36:T41)</f>
        <v>3615.9999999997672</v>
      </c>
      <c r="AB36" s="63">
        <f>SUM(U36:U41)</f>
        <v>335.99999999511056</v>
      </c>
      <c r="AC36" s="64">
        <f>SUM(V36:V41)</f>
        <v>5457.0000000076834</v>
      </c>
    </row>
    <row r="37" spans="1:29" ht="15.75" thickBot="1">
      <c r="A37" s="101" t="s">
        <v>219</v>
      </c>
      <c r="B37" s="59" t="s">
        <v>220</v>
      </c>
      <c r="C37" s="80">
        <v>46058</v>
      </c>
      <c r="D37" s="43">
        <v>0.65069444444444446</v>
      </c>
      <c r="E37" s="80">
        <v>46058</v>
      </c>
      <c r="F37" s="18">
        <v>0.79097222222222219</v>
      </c>
      <c r="G37" s="80">
        <v>46059</v>
      </c>
      <c r="H37" s="18">
        <v>0.34652777777777777</v>
      </c>
      <c r="I37" s="80">
        <v>46059</v>
      </c>
      <c r="J37" s="18">
        <v>0.38819444444444445</v>
      </c>
      <c r="M37" s="67">
        <f t="shared" si="40"/>
        <v>0.14027777778392192</v>
      </c>
      <c r="N37" s="67">
        <f t="shared" si="41"/>
        <v>0.55555555555474712</v>
      </c>
      <c r="O37" s="67">
        <f t="shared" si="47"/>
        <v>4.1666666664241347E-2</v>
      </c>
      <c r="P37" s="67">
        <f t="shared" si="42"/>
        <v>9.2361111113859806E-2</v>
      </c>
      <c r="S37" s="62">
        <f t="shared" si="43"/>
        <v>202.00000000884756</v>
      </c>
      <c r="T37" s="62">
        <f t="shared" si="44"/>
        <v>799.99999999883585</v>
      </c>
      <c r="U37" s="62">
        <f t="shared" si="45"/>
        <v>59.99999999650754</v>
      </c>
      <c r="V37" s="62">
        <f t="shared" si="46"/>
        <v>133.00000000395812</v>
      </c>
      <c r="Z37" s="65">
        <f>(Z36/Y36)*100</f>
        <v>10.845454545469362</v>
      </c>
      <c r="AA37" s="68">
        <f>(AA36/Y36)*100</f>
        <v>32.872727272725157</v>
      </c>
      <c r="AB37" s="65">
        <f>(AB36/Y36)*100</f>
        <v>3.0545454545010049</v>
      </c>
      <c r="AC37" s="66">
        <f>(AC36/Y36)*100</f>
        <v>49.609090909160756</v>
      </c>
    </row>
    <row r="38" spans="1:29">
      <c r="A38" s="101" t="s">
        <v>219</v>
      </c>
      <c r="B38" s="59" t="s">
        <v>220</v>
      </c>
      <c r="C38" s="80">
        <v>46059</v>
      </c>
      <c r="D38" s="33">
        <v>0.48055555555555557</v>
      </c>
      <c r="E38" s="80">
        <v>46059</v>
      </c>
      <c r="F38" s="18">
        <v>0.63055555555555554</v>
      </c>
      <c r="G38" s="80">
        <v>46059</v>
      </c>
      <c r="H38" s="18">
        <v>0.86250000000000004</v>
      </c>
      <c r="I38" s="80">
        <v>46059</v>
      </c>
      <c r="J38" s="18">
        <v>0.90416666666666667</v>
      </c>
      <c r="M38" s="67">
        <f t="shared" si="40"/>
        <v>0.15000000000145519</v>
      </c>
      <c r="N38" s="67">
        <f t="shared" si="41"/>
        <v>0.23194444444379769</v>
      </c>
      <c r="O38" s="67">
        <f t="shared" si="47"/>
        <v>4.1666666664241347E-2</v>
      </c>
      <c r="P38" s="67">
        <f t="shared" si="42"/>
        <v>0.18611111111385981</v>
      </c>
      <c r="S38" s="62">
        <f t="shared" si="43"/>
        <v>216.00000000209548</v>
      </c>
      <c r="T38" s="62">
        <f t="shared" si="44"/>
        <v>333.99999999906868</v>
      </c>
      <c r="U38" s="62">
        <f t="shared" si="45"/>
        <v>59.99999999650754</v>
      </c>
      <c r="V38" s="62">
        <f t="shared" si="46"/>
        <v>268.00000000395812</v>
      </c>
    </row>
    <row r="39" spans="1:29">
      <c r="A39" s="101" t="s">
        <v>219</v>
      </c>
      <c r="B39" s="59" t="s">
        <v>220</v>
      </c>
      <c r="C39" s="80">
        <v>46060</v>
      </c>
      <c r="D39" s="33">
        <v>9.0277777777777776E-2</v>
      </c>
      <c r="E39" s="80">
        <v>46060</v>
      </c>
      <c r="F39" s="18">
        <v>0.21527777777777779</v>
      </c>
      <c r="G39" s="80">
        <v>46060</v>
      </c>
      <c r="H39" s="18">
        <v>0.81666666666666665</v>
      </c>
      <c r="I39" s="80">
        <v>46060</v>
      </c>
      <c r="J39" s="18">
        <v>0.85763888888888884</v>
      </c>
      <c r="M39" s="67">
        <f t="shared" si="40"/>
        <v>0.125</v>
      </c>
      <c r="N39" s="67">
        <f t="shared" si="41"/>
        <v>0.601388888884685</v>
      </c>
      <c r="O39" s="67">
        <f t="shared" si="47"/>
        <v>4.0972222224809229E-2</v>
      </c>
      <c r="P39" s="67">
        <f t="shared" si="42"/>
        <v>7.4999999997089617E-2</v>
      </c>
      <c r="S39" s="62">
        <f t="shared" si="43"/>
        <v>180</v>
      </c>
      <c r="T39" s="62">
        <f t="shared" si="44"/>
        <v>865.9999999939464</v>
      </c>
      <c r="U39" s="62">
        <f t="shared" si="45"/>
        <v>59.00000000372529</v>
      </c>
      <c r="V39" s="62">
        <f t="shared" si="46"/>
        <v>107.99999999580905</v>
      </c>
    </row>
    <row r="40" spans="1:29">
      <c r="A40" s="92" t="s">
        <v>219</v>
      </c>
      <c r="B40" s="20" t="s">
        <v>220</v>
      </c>
      <c r="C40" s="21">
        <v>46060</v>
      </c>
      <c r="D40" s="33">
        <v>0.93263888888888891</v>
      </c>
      <c r="E40" s="21">
        <v>46061</v>
      </c>
      <c r="F40" s="18">
        <v>8.611111111111111E-2</v>
      </c>
      <c r="G40" s="21">
        <v>46061</v>
      </c>
      <c r="H40" s="18">
        <v>0.21666666666666667</v>
      </c>
      <c r="I40" s="21">
        <v>46061</v>
      </c>
      <c r="J40" s="18">
        <v>0.24791666666666667</v>
      </c>
      <c r="M40" s="103">
        <f t="shared" si="40"/>
        <v>0.15347222222044365</v>
      </c>
      <c r="N40" s="103">
        <f t="shared" si="41"/>
        <v>0.13055555555911269</v>
      </c>
      <c r="O40" s="103">
        <f t="shared" si="47"/>
        <v>3.125E-2</v>
      </c>
      <c r="P40" s="103">
        <f>(C41+D41)-(I40+J40)</f>
        <v>0.12361111111385981</v>
      </c>
      <c r="S40" s="34">
        <f t="shared" si="43"/>
        <v>220.99999999743886</v>
      </c>
      <c r="T40" s="34">
        <f t="shared" si="44"/>
        <v>188.00000000512227</v>
      </c>
      <c r="U40" s="34">
        <f t="shared" si="45"/>
        <v>45</v>
      </c>
      <c r="V40" s="34">
        <f t="shared" si="46"/>
        <v>178.00000000395812</v>
      </c>
    </row>
    <row r="41" spans="1:29" ht="15.75" thickBot="1">
      <c r="A41" s="102" t="s">
        <v>219</v>
      </c>
      <c r="B41" s="51" t="s">
        <v>220</v>
      </c>
      <c r="C41" s="45">
        <v>46061</v>
      </c>
      <c r="D41" s="78">
        <v>0.37152777777777779</v>
      </c>
      <c r="E41" s="45">
        <v>46061</v>
      </c>
      <c r="F41" s="46">
        <v>0.50138888888888888</v>
      </c>
      <c r="G41" s="45">
        <v>46061</v>
      </c>
      <c r="H41" s="46">
        <v>0.99513888888888891</v>
      </c>
      <c r="I41" s="45">
        <v>46062</v>
      </c>
      <c r="J41" s="46">
        <v>2.9166666666666667E-2</v>
      </c>
      <c r="M41" s="41">
        <f t="shared" si="40"/>
        <v>0.12986111110512866</v>
      </c>
      <c r="N41" s="41">
        <f t="shared" si="41"/>
        <v>0.49375000000145519</v>
      </c>
      <c r="O41" s="41">
        <f t="shared" si="47"/>
        <v>3.4027777779556345E-2</v>
      </c>
      <c r="P41" s="41">
        <f t="shared" si="42"/>
        <v>4.5138888890505768E-2</v>
      </c>
      <c r="S41" s="90">
        <f t="shared" si="43"/>
        <v>186.99999999138527</v>
      </c>
      <c r="T41" s="90">
        <f t="shared" si="44"/>
        <v>711.00000000209548</v>
      </c>
      <c r="U41" s="90">
        <f t="shared" si="45"/>
        <v>49.000000002561137</v>
      </c>
      <c r="V41" s="90">
        <f t="shared" si="46"/>
        <v>65.000000002328306</v>
      </c>
    </row>
    <row r="42" spans="1:29" ht="15.75" thickBot="1">
      <c r="A42" s="101" t="s">
        <v>230</v>
      </c>
      <c r="B42" s="59" t="s">
        <v>231</v>
      </c>
      <c r="C42" s="80">
        <v>46062</v>
      </c>
      <c r="D42" s="73">
        <v>7.4305555555555555E-2</v>
      </c>
      <c r="E42" s="80">
        <v>46062</v>
      </c>
      <c r="F42" s="74">
        <v>0.21249999999999999</v>
      </c>
      <c r="G42" s="80">
        <v>46062</v>
      </c>
      <c r="H42" s="74">
        <v>0.74444444444444446</v>
      </c>
      <c r="I42" s="80">
        <v>46062</v>
      </c>
      <c r="J42" s="74">
        <v>0.77083333333333337</v>
      </c>
      <c r="M42" s="67">
        <f t="shared" si="40"/>
        <v>0.13819444444379769</v>
      </c>
      <c r="N42" s="67">
        <f t="shared" si="41"/>
        <v>0.53194444443943212</v>
      </c>
      <c r="O42" s="67">
        <f t="shared" si="47"/>
        <v>2.6388888894871343E-2</v>
      </c>
      <c r="P42" s="67">
        <f t="shared" si="42"/>
        <v>7.8472222223354038E-2</v>
      </c>
      <c r="S42" s="62">
        <f t="shared" si="43"/>
        <v>198.99999999906868</v>
      </c>
      <c r="T42" s="62">
        <f t="shared" si="44"/>
        <v>765.99999999278225</v>
      </c>
      <c r="U42" s="62">
        <f t="shared" si="45"/>
        <v>38.000000008614734</v>
      </c>
      <c r="V42" s="62">
        <f t="shared" si="46"/>
        <v>113.00000000162981</v>
      </c>
      <c r="X42" s="61" t="s">
        <v>86</v>
      </c>
      <c r="Y42" s="61">
        <v>11000</v>
      </c>
      <c r="Z42" s="63">
        <f>SUM(S42:S50)</f>
        <v>1679.9999999965075</v>
      </c>
      <c r="AA42" s="63">
        <f>SUM(T42:T50)</f>
        <v>5832.9999999864958</v>
      </c>
      <c r="AB42" s="63">
        <f>SUM(U42:U50)</f>
        <v>464.00000001420267</v>
      </c>
      <c r="AC42" s="64">
        <f>SUM(V42:V50)</f>
        <v>1424.0000000002328</v>
      </c>
    </row>
    <row r="43" spans="1:29" ht="15.75" thickBot="1">
      <c r="A43" s="101" t="s">
        <v>230</v>
      </c>
      <c r="B43" s="59" t="s">
        <v>231</v>
      </c>
      <c r="C43" s="80">
        <v>46062</v>
      </c>
      <c r="D43" s="33">
        <v>0.84930555555555554</v>
      </c>
      <c r="E43" s="80">
        <v>46062</v>
      </c>
      <c r="F43" s="18">
        <v>0.99513888888888891</v>
      </c>
      <c r="G43" s="80">
        <v>46063</v>
      </c>
      <c r="H43" s="18">
        <v>0.52083333333333337</v>
      </c>
      <c r="I43" s="80">
        <v>46063</v>
      </c>
      <c r="J43" s="18">
        <v>0.55902777777777779</v>
      </c>
      <c r="M43" s="67">
        <f t="shared" si="40"/>
        <v>0.14583333332848269</v>
      </c>
      <c r="N43" s="67">
        <f t="shared" si="41"/>
        <v>0.52569444444816327</v>
      </c>
      <c r="O43" s="67">
        <f t="shared" si="47"/>
        <v>3.8194444445252884E-2</v>
      </c>
      <c r="P43" s="67">
        <f t="shared" si="42"/>
        <v>0.10069444443797693</v>
      </c>
      <c r="S43" s="62">
        <f t="shared" si="43"/>
        <v>209.99999999301508</v>
      </c>
      <c r="T43" s="62">
        <f t="shared" si="44"/>
        <v>757.0000000053551</v>
      </c>
      <c r="U43" s="62">
        <f t="shared" si="45"/>
        <v>55.000000001164153</v>
      </c>
      <c r="V43" s="62">
        <f t="shared" si="46"/>
        <v>144.99999999068677</v>
      </c>
      <c r="Z43" s="65">
        <f>(Z42/Y42)*100</f>
        <v>15.272727272695525</v>
      </c>
      <c r="AA43" s="68">
        <f>(AA42/Y42)*100</f>
        <v>53.027272727149963</v>
      </c>
      <c r="AB43" s="65">
        <f>(AB42/Y42)*100</f>
        <v>4.2181818183109332</v>
      </c>
      <c r="AC43" s="66">
        <f>(AC42/Y42)*100</f>
        <v>12.945454545456661</v>
      </c>
    </row>
    <row r="44" spans="1:29">
      <c r="A44" s="101" t="s">
        <v>230</v>
      </c>
      <c r="B44" s="59" t="s">
        <v>231</v>
      </c>
      <c r="C44" s="80">
        <v>46063</v>
      </c>
      <c r="D44" s="33">
        <v>0.65972222222222221</v>
      </c>
      <c r="E44" s="80">
        <v>46063</v>
      </c>
      <c r="F44" s="18">
        <v>0.81041666666666667</v>
      </c>
      <c r="G44" s="80">
        <v>46064</v>
      </c>
      <c r="H44" s="18">
        <v>0.35694444444444445</v>
      </c>
      <c r="I44" s="80">
        <v>46064</v>
      </c>
      <c r="J44" s="18">
        <v>0.38958333333333334</v>
      </c>
      <c r="M44" s="67">
        <f t="shared" si="40"/>
        <v>0.15069444444816327</v>
      </c>
      <c r="N44" s="67">
        <f t="shared" si="41"/>
        <v>0.54652777777664596</v>
      </c>
      <c r="O44" s="67">
        <f t="shared" si="47"/>
        <v>3.2638888886140194E-2</v>
      </c>
      <c r="P44" s="67">
        <f t="shared" si="42"/>
        <v>6.3888888893416151E-2</v>
      </c>
      <c r="S44" s="62">
        <f t="shared" si="43"/>
        <v>217.0000000053551</v>
      </c>
      <c r="T44" s="62">
        <f t="shared" si="44"/>
        <v>786.99999999837019</v>
      </c>
      <c r="U44" s="62">
        <f t="shared" si="45"/>
        <v>46.999999996041879</v>
      </c>
      <c r="V44" s="62">
        <f t="shared" si="46"/>
        <v>92.000000006519258</v>
      </c>
    </row>
    <row r="45" spans="1:29">
      <c r="A45" s="101" t="s">
        <v>230</v>
      </c>
      <c r="B45" s="59" t="s">
        <v>231</v>
      </c>
      <c r="C45" s="80">
        <v>46064</v>
      </c>
      <c r="D45" s="33">
        <v>0.45347222222222222</v>
      </c>
      <c r="E45" s="80">
        <v>46064</v>
      </c>
      <c r="F45" s="18">
        <v>0.56805555555555554</v>
      </c>
      <c r="G45" s="80">
        <v>46065</v>
      </c>
      <c r="H45" s="18">
        <v>0.10486111111111111</v>
      </c>
      <c r="I45" s="80">
        <v>46065</v>
      </c>
      <c r="J45" s="18">
        <v>0.14583333333333334</v>
      </c>
      <c r="M45" s="67">
        <f t="shared" si="40"/>
        <v>0.11458333333575865</v>
      </c>
      <c r="N45" s="67">
        <f t="shared" si="41"/>
        <v>0.53680555555183673</v>
      </c>
      <c r="O45" s="67">
        <f t="shared" si="47"/>
        <v>4.0972222224809229E-2</v>
      </c>
      <c r="P45" s="67">
        <f t="shared" si="42"/>
        <v>4.6527777776645962E-2</v>
      </c>
      <c r="S45" s="62">
        <f t="shared" si="43"/>
        <v>165.00000000349246</v>
      </c>
      <c r="T45" s="62">
        <f t="shared" si="44"/>
        <v>772.9999999946449</v>
      </c>
      <c r="U45" s="62">
        <f t="shared" si="45"/>
        <v>59.00000000372529</v>
      </c>
      <c r="V45" s="62">
        <f t="shared" si="46"/>
        <v>66.999999998370185</v>
      </c>
    </row>
    <row r="46" spans="1:29">
      <c r="A46" s="101" t="s">
        <v>230</v>
      </c>
      <c r="B46" s="59" t="s">
        <v>231</v>
      </c>
      <c r="C46" s="80">
        <v>46065</v>
      </c>
      <c r="D46" s="33">
        <v>0.19236111111111112</v>
      </c>
      <c r="E46" s="80">
        <v>46065</v>
      </c>
      <c r="F46" s="18">
        <v>0.31874999999999998</v>
      </c>
      <c r="G46" s="80">
        <v>46065</v>
      </c>
      <c r="H46" s="18">
        <v>0.80972222222222223</v>
      </c>
      <c r="I46" s="80">
        <v>46065</v>
      </c>
      <c r="J46" s="18">
        <v>0.8520833333333333</v>
      </c>
      <c r="M46" s="67">
        <f t="shared" si="40"/>
        <v>0.12638888888614019</v>
      </c>
      <c r="N46" s="67">
        <f t="shared" si="41"/>
        <v>0.49097222222189885</v>
      </c>
      <c r="O46" s="67">
        <f t="shared" si="47"/>
        <v>4.2361111110949423E-2</v>
      </c>
      <c r="P46" s="67">
        <f t="shared" si="42"/>
        <v>5.0000000002910383E-2</v>
      </c>
      <c r="S46" s="62">
        <f t="shared" si="43"/>
        <v>181.99999999604188</v>
      </c>
      <c r="T46" s="62">
        <f t="shared" si="44"/>
        <v>706.99999999953434</v>
      </c>
      <c r="U46" s="62">
        <f t="shared" si="45"/>
        <v>60.999999999767169</v>
      </c>
      <c r="V46" s="62">
        <f t="shared" si="46"/>
        <v>72.000000004190952</v>
      </c>
    </row>
    <row r="47" spans="1:29">
      <c r="A47" s="101" t="s">
        <v>230</v>
      </c>
      <c r="B47" s="59" t="s">
        <v>231</v>
      </c>
      <c r="C47" s="80">
        <v>46065</v>
      </c>
      <c r="D47" s="33">
        <v>0.90208333333333335</v>
      </c>
      <c r="E47" s="80">
        <v>46066</v>
      </c>
      <c r="F47" s="18">
        <v>2.013888888888889E-2</v>
      </c>
      <c r="G47" s="80">
        <v>46066</v>
      </c>
      <c r="H47" s="18">
        <v>0.44166666666666665</v>
      </c>
      <c r="I47" s="80">
        <v>46066</v>
      </c>
      <c r="J47" s="18">
        <v>0.47152777777777777</v>
      </c>
      <c r="M47" s="67">
        <f t="shared" si="40"/>
        <v>0.11805555555474712</v>
      </c>
      <c r="N47" s="67">
        <f t="shared" si="41"/>
        <v>0.42152777777664596</v>
      </c>
      <c r="O47" s="67">
        <f t="shared" si="47"/>
        <v>2.9861111113859806E-2</v>
      </c>
      <c r="P47" s="67">
        <f t="shared" si="42"/>
        <v>0.38541666666424135</v>
      </c>
      <c r="S47" s="62">
        <f t="shared" si="43"/>
        <v>169.99999999883585</v>
      </c>
      <c r="T47" s="62">
        <f t="shared" si="44"/>
        <v>606.99999999837019</v>
      </c>
      <c r="U47" s="62">
        <f t="shared" si="45"/>
        <v>43.000000003958121</v>
      </c>
      <c r="V47" s="62">
        <f t="shared" si="46"/>
        <v>554.99999999650754</v>
      </c>
    </row>
    <row r="48" spans="1:29">
      <c r="A48" s="101" t="s">
        <v>230</v>
      </c>
      <c r="B48" s="59" t="s">
        <v>231</v>
      </c>
      <c r="C48" s="80">
        <v>46066</v>
      </c>
      <c r="D48" s="33">
        <v>0.8569444444444444</v>
      </c>
      <c r="E48" s="80">
        <v>46066</v>
      </c>
      <c r="F48" s="18">
        <v>0.98888888888888893</v>
      </c>
      <c r="G48" s="80">
        <v>46067</v>
      </c>
      <c r="H48" s="18">
        <v>0.19583333333333333</v>
      </c>
      <c r="I48" s="80">
        <v>46067</v>
      </c>
      <c r="J48" s="18">
        <v>0.23194444444444445</v>
      </c>
      <c r="M48" s="67">
        <f t="shared" si="40"/>
        <v>0.13194444444525288</v>
      </c>
      <c r="N48" s="67">
        <f t="shared" si="41"/>
        <v>0.2069444444423425</v>
      </c>
      <c r="O48" s="67">
        <f t="shared" si="47"/>
        <v>3.6111111112404615E-2</v>
      </c>
      <c r="P48" s="67">
        <f t="shared" si="42"/>
        <v>0.15000000000145519</v>
      </c>
      <c r="S48" s="62">
        <f t="shared" si="43"/>
        <v>190.00000000116415</v>
      </c>
      <c r="T48" s="62">
        <f t="shared" si="44"/>
        <v>297.9999999969732</v>
      </c>
      <c r="U48" s="62">
        <f t="shared" si="45"/>
        <v>52.000000001862645</v>
      </c>
      <c r="V48" s="62">
        <f t="shared" si="46"/>
        <v>216.00000000209548</v>
      </c>
    </row>
    <row r="49" spans="1:29">
      <c r="A49" s="101" t="s">
        <v>230</v>
      </c>
      <c r="B49" s="59" t="s">
        <v>231</v>
      </c>
      <c r="C49" s="80">
        <v>46067</v>
      </c>
      <c r="D49" s="33">
        <v>0.38194444444444442</v>
      </c>
      <c r="E49" s="80">
        <v>46067</v>
      </c>
      <c r="F49" s="18">
        <v>0.5083333333333333</v>
      </c>
      <c r="G49" s="80">
        <v>46067</v>
      </c>
      <c r="H49" s="18">
        <v>0.8930555555555556</v>
      </c>
      <c r="I49" s="80">
        <v>46067</v>
      </c>
      <c r="J49" s="18">
        <v>0.93472222222222223</v>
      </c>
      <c r="M49" s="67">
        <f t="shared" ref="M49:M58" si="48">(E49+F49)-(C49+D49)</f>
        <v>0.12638888888614019</v>
      </c>
      <c r="N49" s="67">
        <f t="shared" ref="N49:N58" si="49">(G49+H49)-(E49+F49)</f>
        <v>0.38472222222480923</v>
      </c>
      <c r="O49" s="67">
        <f t="shared" ref="O49:O58" si="50">(I49+J49)-(G49+H49)</f>
        <v>4.1666666664241347E-2</v>
      </c>
      <c r="P49" s="67">
        <f t="shared" ref="P49:P58" si="51">(C50+D50)-(I49+J49)</f>
        <v>5.7638888887595385E-2</v>
      </c>
      <c r="S49" s="62">
        <f t="shared" ref="S49:S58" si="52">1440*M49</f>
        <v>181.99999999604188</v>
      </c>
      <c r="T49" s="62">
        <f t="shared" ref="T49:T58" si="53">1440*N49</f>
        <v>554.00000000372529</v>
      </c>
      <c r="U49" s="62">
        <f t="shared" ref="U49:U58" si="54">1440*O49</f>
        <v>59.99999999650754</v>
      </c>
      <c r="V49" s="62">
        <f t="shared" ref="V49:V58" si="55">1440*P49</f>
        <v>82.999999998137355</v>
      </c>
    </row>
    <row r="50" spans="1:29" ht="15.75" thickBot="1">
      <c r="A50" s="102" t="s">
        <v>230</v>
      </c>
      <c r="B50" s="51" t="s">
        <v>231</v>
      </c>
      <c r="C50" s="45">
        <v>46067</v>
      </c>
      <c r="D50" s="78">
        <v>0.99236111111111114</v>
      </c>
      <c r="E50" s="45">
        <v>46068</v>
      </c>
      <c r="F50" s="46">
        <v>0.10694444444444444</v>
      </c>
      <c r="G50" s="45">
        <v>46068</v>
      </c>
      <c r="H50" s="46">
        <v>0.51249999999999996</v>
      </c>
      <c r="I50" s="45">
        <v>46068</v>
      </c>
      <c r="J50" s="46">
        <v>0.54652777777777772</v>
      </c>
      <c r="M50" s="41">
        <f t="shared" si="48"/>
        <v>0.11458333333575865</v>
      </c>
      <c r="N50" s="41">
        <f t="shared" si="49"/>
        <v>0.40555555555329192</v>
      </c>
      <c r="O50" s="41">
        <f t="shared" si="50"/>
        <v>3.4027777779556345E-2</v>
      </c>
      <c r="P50" s="41">
        <f t="shared" si="51"/>
        <v>5.6250000001455192E-2</v>
      </c>
      <c r="S50" s="90">
        <f t="shared" si="52"/>
        <v>165.00000000349246</v>
      </c>
      <c r="T50" s="90">
        <f t="shared" si="53"/>
        <v>583.99999999674037</v>
      </c>
      <c r="U50" s="90">
        <f t="shared" si="54"/>
        <v>49.000000002561137</v>
      </c>
      <c r="V50" s="90">
        <f t="shared" si="55"/>
        <v>81.000000002095476</v>
      </c>
    </row>
    <row r="51" spans="1:29" ht="15.75" thickBot="1">
      <c r="A51" s="101" t="s">
        <v>254</v>
      </c>
      <c r="B51" s="59" t="s">
        <v>255</v>
      </c>
      <c r="C51" s="37">
        <v>46068</v>
      </c>
      <c r="D51" s="104">
        <v>0.60277777777777775</v>
      </c>
      <c r="E51" s="37">
        <v>46068</v>
      </c>
      <c r="F51" s="105">
        <v>0.72569444444444442</v>
      </c>
      <c r="G51" s="37">
        <v>46069</v>
      </c>
      <c r="H51" s="105">
        <v>0.24791666666666667</v>
      </c>
      <c r="I51" s="37">
        <v>46069</v>
      </c>
      <c r="J51" s="105">
        <v>0.30555555555555558</v>
      </c>
      <c r="M51" s="106">
        <f t="shared" si="48"/>
        <v>0.12291666666715173</v>
      </c>
      <c r="N51" s="106">
        <f t="shared" si="49"/>
        <v>0.52222222222189885</v>
      </c>
      <c r="O51" s="106">
        <f t="shared" si="50"/>
        <v>5.7638888887595385E-2</v>
      </c>
      <c r="P51" s="106">
        <f t="shared" si="51"/>
        <v>0.24305555555474712</v>
      </c>
      <c r="S51" s="107">
        <f t="shared" si="52"/>
        <v>177.00000000069849</v>
      </c>
      <c r="T51" s="107">
        <f t="shared" si="53"/>
        <v>751.99999999953434</v>
      </c>
      <c r="U51" s="107">
        <f t="shared" si="54"/>
        <v>82.999999998137355</v>
      </c>
      <c r="V51" s="107">
        <f t="shared" si="55"/>
        <v>349.99999999883585</v>
      </c>
      <c r="X51" s="61" t="s">
        <v>86</v>
      </c>
      <c r="Y51" s="61">
        <v>11000</v>
      </c>
      <c r="Z51" s="63">
        <f>SUM(S51:S59)</f>
        <v>2171.0000000149012</v>
      </c>
      <c r="AA51" s="63">
        <f t="shared" ref="AA51:AC51" si="56">SUM(T51:T59)</f>
        <v>5988.9999999920838</v>
      </c>
      <c r="AB51" s="63">
        <f t="shared" si="56"/>
        <v>464.00000001420267</v>
      </c>
      <c r="AC51" s="63">
        <f t="shared" si="56"/>
        <v>1424.9999999825377</v>
      </c>
    </row>
    <row r="52" spans="1:29" ht="15.75" thickBot="1">
      <c r="A52" s="101" t="s">
        <v>254</v>
      </c>
      <c r="B52" s="59" t="s">
        <v>255</v>
      </c>
      <c r="C52" s="80">
        <v>46069</v>
      </c>
      <c r="D52" s="73">
        <v>0.54861111111111116</v>
      </c>
      <c r="E52" s="80">
        <v>46069</v>
      </c>
      <c r="F52" s="74">
        <v>0.86805555555555547</v>
      </c>
      <c r="G52" s="80">
        <v>46069</v>
      </c>
      <c r="H52" s="74">
        <v>0.95208333333333339</v>
      </c>
      <c r="I52" s="80">
        <v>46069</v>
      </c>
      <c r="J52" s="74">
        <v>0.96666666666666667</v>
      </c>
      <c r="M52" s="67">
        <f t="shared" si="48"/>
        <v>0.31944444444525288</v>
      </c>
      <c r="N52" s="67">
        <f t="shared" si="49"/>
        <v>8.4027777775190771E-2</v>
      </c>
      <c r="O52" s="67">
        <f t="shared" si="50"/>
        <v>1.4583333337213844E-2</v>
      </c>
      <c r="P52" s="67">
        <f t="shared" si="51"/>
        <v>9.1666666667151731E-2</v>
      </c>
      <c r="S52" s="62">
        <f t="shared" si="52"/>
        <v>460.00000000116415</v>
      </c>
      <c r="T52" s="62">
        <f t="shared" si="53"/>
        <v>120.99999999627471</v>
      </c>
      <c r="U52" s="62">
        <f t="shared" si="54"/>
        <v>21.000000005587935</v>
      </c>
      <c r="V52" s="62">
        <f t="shared" si="55"/>
        <v>132.00000000069849</v>
      </c>
      <c r="Z52" s="65">
        <f>(Z51/Y51)*100</f>
        <v>19.736363636499103</v>
      </c>
      <c r="AA52" s="68">
        <f>(AA51/Y51)*100</f>
        <v>54.445454545382574</v>
      </c>
      <c r="AB52" s="65">
        <f>(AB51/Y51)*100</f>
        <v>4.2181818183109332</v>
      </c>
      <c r="AC52" s="66">
        <f>(AC51/Y51)*100</f>
        <v>12.954545454386707</v>
      </c>
    </row>
    <row r="53" spans="1:29">
      <c r="A53" s="101" t="s">
        <v>254</v>
      </c>
      <c r="B53" s="59" t="s">
        <v>255</v>
      </c>
      <c r="C53" s="80">
        <v>46070</v>
      </c>
      <c r="D53" s="33">
        <v>5.8333333333333327E-2</v>
      </c>
      <c r="E53" s="80">
        <v>46070</v>
      </c>
      <c r="F53" s="18">
        <v>0.16666666666666666</v>
      </c>
      <c r="G53" s="80">
        <v>46070</v>
      </c>
      <c r="H53" s="18">
        <v>0.54166666666666663</v>
      </c>
      <c r="I53" s="80">
        <v>46070</v>
      </c>
      <c r="J53" s="18">
        <v>0.58611111111111114</v>
      </c>
      <c r="M53" s="67">
        <f t="shared" si="48"/>
        <v>0.10833333332993789</v>
      </c>
      <c r="N53" s="67">
        <f t="shared" si="49"/>
        <v>0.375</v>
      </c>
      <c r="O53" s="67">
        <f t="shared" si="50"/>
        <v>4.4444444443797693E-2</v>
      </c>
      <c r="P53" s="67">
        <f t="shared" si="51"/>
        <v>7.777777778392192E-2</v>
      </c>
      <c r="S53" s="62">
        <f t="shared" si="52"/>
        <v>155.99999999511056</v>
      </c>
      <c r="T53" s="62">
        <f t="shared" si="53"/>
        <v>540</v>
      </c>
      <c r="U53" s="62">
        <f t="shared" si="54"/>
        <v>63.999999999068677</v>
      </c>
      <c r="V53" s="62">
        <f t="shared" si="55"/>
        <v>112.00000000884756</v>
      </c>
    </row>
    <row r="54" spans="1:29">
      <c r="A54" s="101" t="s">
        <v>254</v>
      </c>
      <c r="B54" s="59" t="s">
        <v>255</v>
      </c>
      <c r="C54" s="80">
        <v>46070</v>
      </c>
      <c r="D54" s="33">
        <v>0.66388888888888886</v>
      </c>
      <c r="E54" s="80">
        <v>46070</v>
      </c>
      <c r="F54" s="18">
        <v>0.80555555555555547</v>
      </c>
      <c r="G54" s="80">
        <v>46071</v>
      </c>
      <c r="H54" s="18">
        <v>0.32222222222222224</v>
      </c>
      <c r="I54" s="80">
        <v>46071</v>
      </c>
      <c r="J54" s="18">
        <v>0.34930555555555554</v>
      </c>
      <c r="M54" s="67">
        <f t="shared" si="48"/>
        <v>0.14166666666278616</v>
      </c>
      <c r="N54" s="67">
        <f t="shared" si="49"/>
        <v>0.51666666667006211</v>
      </c>
      <c r="O54" s="67">
        <f t="shared" si="50"/>
        <v>2.7083333334303461E-2</v>
      </c>
      <c r="P54" s="67">
        <f t="shared" si="51"/>
        <v>0.132638888884685</v>
      </c>
      <c r="S54" s="62">
        <f t="shared" si="52"/>
        <v>203.99999999441206</v>
      </c>
      <c r="T54" s="62">
        <f t="shared" si="53"/>
        <v>744.00000000488944</v>
      </c>
      <c r="U54" s="62">
        <f t="shared" si="54"/>
        <v>39.000000001396984</v>
      </c>
      <c r="V54" s="62">
        <f t="shared" si="55"/>
        <v>190.9999999939464</v>
      </c>
    </row>
    <row r="55" spans="1:29">
      <c r="A55" s="92" t="s">
        <v>254</v>
      </c>
      <c r="B55" s="20" t="s">
        <v>255</v>
      </c>
      <c r="C55" s="21">
        <v>46071</v>
      </c>
      <c r="D55" s="33">
        <v>0.48194444444444445</v>
      </c>
      <c r="E55" s="21">
        <v>46071</v>
      </c>
      <c r="F55" s="18">
        <v>0.62291666666666667</v>
      </c>
      <c r="G55" s="21">
        <v>46072</v>
      </c>
      <c r="H55" s="18">
        <v>0.26250000000000001</v>
      </c>
      <c r="I55" s="21">
        <v>46072</v>
      </c>
      <c r="J55" s="18">
        <v>0.3</v>
      </c>
      <c r="M55" s="67">
        <f t="shared" si="48"/>
        <v>0.14097222222335404</v>
      </c>
      <c r="N55" s="67">
        <f t="shared" si="49"/>
        <v>0.63958333332993789</v>
      </c>
      <c r="O55" s="67">
        <f t="shared" si="50"/>
        <v>3.7500000005820766E-2</v>
      </c>
      <c r="P55" s="67">
        <f t="shared" si="51"/>
        <v>0.10347222221753327</v>
      </c>
      <c r="S55" s="62">
        <f t="shared" si="52"/>
        <v>203.00000000162981</v>
      </c>
      <c r="T55" s="62">
        <f t="shared" si="53"/>
        <v>920.99999999511056</v>
      </c>
      <c r="U55" s="62">
        <f t="shared" si="54"/>
        <v>54.000000008381903</v>
      </c>
      <c r="V55" s="62">
        <f t="shared" si="55"/>
        <v>148.99999999324791</v>
      </c>
    </row>
    <row r="56" spans="1:29">
      <c r="A56" s="101" t="s">
        <v>254</v>
      </c>
      <c r="B56" s="59" t="s">
        <v>255</v>
      </c>
      <c r="C56" s="80">
        <v>46072</v>
      </c>
      <c r="D56" s="33">
        <v>0.40347222222222223</v>
      </c>
      <c r="E56" s="80">
        <v>46072</v>
      </c>
      <c r="F56" s="18">
        <v>0.53194444444444444</v>
      </c>
      <c r="G56" s="80">
        <v>46073</v>
      </c>
      <c r="H56" s="18">
        <v>2.5000000000000001E-2</v>
      </c>
      <c r="I56" s="80">
        <v>46073</v>
      </c>
      <c r="J56" s="18">
        <v>5.9027777777777776E-2</v>
      </c>
      <c r="M56" s="67">
        <f t="shared" si="48"/>
        <v>0.12847222222626442</v>
      </c>
      <c r="N56" s="67">
        <f t="shared" si="49"/>
        <v>0.49305555555474712</v>
      </c>
      <c r="O56" s="67">
        <f t="shared" si="50"/>
        <v>3.4027777779556345E-2</v>
      </c>
      <c r="P56" s="67">
        <f t="shared" si="51"/>
        <v>0.10972222221607808</v>
      </c>
      <c r="S56" s="62">
        <f t="shared" si="52"/>
        <v>185.00000000582077</v>
      </c>
      <c r="T56" s="62">
        <f t="shared" si="53"/>
        <v>709.99999999883585</v>
      </c>
      <c r="U56" s="62">
        <f t="shared" si="54"/>
        <v>49.000000002561137</v>
      </c>
      <c r="V56" s="62">
        <f t="shared" si="55"/>
        <v>157.99999999115244</v>
      </c>
    </row>
    <row r="57" spans="1:29">
      <c r="A57" s="101" t="s">
        <v>254</v>
      </c>
      <c r="B57" s="59" t="s">
        <v>255</v>
      </c>
      <c r="C57" s="80">
        <v>46073</v>
      </c>
      <c r="D57" s="33">
        <v>0.16875000000000001</v>
      </c>
      <c r="E57" s="80">
        <v>46073</v>
      </c>
      <c r="F57" s="18">
        <v>0.2902777777777778</v>
      </c>
      <c r="G57" s="80">
        <v>46073</v>
      </c>
      <c r="H57" s="18">
        <v>0.78402777777777777</v>
      </c>
      <c r="I57" s="80">
        <v>46073</v>
      </c>
      <c r="J57" s="18">
        <v>0.82291666666666663</v>
      </c>
      <c r="M57" s="67">
        <f t="shared" si="48"/>
        <v>0.12152777778101154</v>
      </c>
      <c r="N57" s="67">
        <f t="shared" si="49"/>
        <v>0.49375000000145519</v>
      </c>
      <c r="O57" s="67">
        <f t="shared" si="50"/>
        <v>3.8888888884685002E-2</v>
      </c>
      <c r="P57" s="67">
        <f t="shared" si="51"/>
        <v>9.8611111112404615E-2</v>
      </c>
      <c r="S57" s="62">
        <f t="shared" si="52"/>
        <v>175.00000000465661</v>
      </c>
      <c r="T57" s="62">
        <f t="shared" si="53"/>
        <v>711.00000000209548</v>
      </c>
      <c r="U57" s="62">
        <f t="shared" si="54"/>
        <v>55.999999993946403</v>
      </c>
      <c r="V57" s="62">
        <f t="shared" si="55"/>
        <v>142.00000000186265</v>
      </c>
    </row>
    <row r="58" spans="1:29">
      <c r="A58" s="101" t="s">
        <v>254</v>
      </c>
      <c r="B58" s="59" t="s">
        <v>255</v>
      </c>
      <c r="C58" s="80">
        <v>46073</v>
      </c>
      <c r="D58" s="33">
        <v>0.92152777777777772</v>
      </c>
      <c r="E58" s="80">
        <v>46074</v>
      </c>
      <c r="F58" s="18">
        <v>0.05</v>
      </c>
      <c r="G58" s="80">
        <v>46074</v>
      </c>
      <c r="H58" s="18">
        <v>0.57430555555555551</v>
      </c>
      <c r="I58" s="80">
        <v>46074</v>
      </c>
      <c r="J58" s="18">
        <v>0.61041666666666672</v>
      </c>
      <c r="M58" s="67">
        <f t="shared" si="48"/>
        <v>0.12847222222626442</v>
      </c>
      <c r="N58" s="67">
        <f t="shared" si="49"/>
        <v>0.52430555555474712</v>
      </c>
      <c r="O58" s="67">
        <f t="shared" si="50"/>
        <v>3.6111111112404615E-2</v>
      </c>
      <c r="P58" s="67">
        <f t="shared" si="51"/>
        <v>0.11041666666278616</v>
      </c>
      <c r="S58" s="34">
        <f t="shared" si="52"/>
        <v>185.00000000582077</v>
      </c>
      <c r="T58" s="34">
        <f t="shared" si="53"/>
        <v>754.99999999883585</v>
      </c>
      <c r="U58" s="34">
        <f t="shared" si="54"/>
        <v>52.000000001862645</v>
      </c>
      <c r="V58" s="34">
        <f t="shared" si="55"/>
        <v>158.99999999441206</v>
      </c>
    </row>
    <row r="59" spans="1:29" ht="15.75" thickBot="1">
      <c r="A59" s="102" t="s">
        <v>254</v>
      </c>
      <c r="B59" s="51" t="s">
        <v>255</v>
      </c>
      <c r="C59" s="45">
        <v>46074</v>
      </c>
      <c r="D59" s="78">
        <v>0.72083333333333333</v>
      </c>
      <c r="E59" s="45">
        <v>46075</v>
      </c>
      <c r="F59" s="46">
        <v>1.6666666666666666E-2</v>
      </c>
      <c r="G59" s="45">
        <v>46075</v>
      </c>
      <c r="H59" s="46">
        <v>0.52708333333333335</v>
      </c>
      <c r="I59" s="45">
        <v>46075</v>
      </c>
      <c r="J59" s="46">
        <v>0.55902777777777779</v>
      </c>
      <c r="M59" s="122">
        <f t="shared" ref="M59" si="57">(E59+F59)-(C59+D59)</f>
        <v>0.29583333333721384</v>
      </c>
      <c r="N59" s="122">
        <f t="shared" ref="N59" si="58">(G59+H59)-(E59+F59)</f>
        <v>0.51041666666424135</v>
      </c>
      <c r="O59" s="122">
        <f t="shared" ref="O59" si="59">(I59+J59)-(G59+H59)</f>
        <v>3.1944444446708076E-2</v>
      </c>
      <c r="P59" s="122">
        <f t="shared" ref="P59" si="60">(C60+D60)-(I59+J59)</f>
        <v>2.2222222221898846E-2</v>
      </c>
      <c r="S59" s="123">
        <f t="shared" ref="S59" si="61">1440*M59</f>
        <v>426.00000000558794</v>
      </c>
      <c r="T59" s="123">
        <f t="shared" ref="T59" si="62">1440*N59</f>
        <v>734.99999999650754</v>
      </c>
      <c r="U59" s="123">
        <f t="shared" ref="U59" si="63">1440*O59</f>
        <v>46.000000003259629</v>
      </c>
      <c r="V59" s="123">
        <f t="shared" ref="V59" si="64">1440*P59</f>
        <v>31.999999999534339</v>
      </c>
    </row>
    <row r="60" spans="1:29" ht="15.75" thickBot="1">
      <c r="A60" s="101" t="s">
        <v>270</v>
      </c>
      <c r="B60" s="59" t="s">
        <v>279</v>
      </c>
      <c r="C60" s="37">
        <v>46075</v>
      </c>
      <c r="D60" s="104">
        <v>0.58125000000000004</v>
      </c>
      <c r="E60" s="37">
        <v>46075</v>
      </c>
      <c r="F60" s="105">
        <v>0.69444444444444453</v>
      </c>
      <c r="G60" s="37">
        <v>46076</v>
      </c>
      <c r="H60" s="105">
        <v>0.26111111111111113</v>
      </c>
      <c r="I60" s="37">
        <v>46076</v>
      </c>
      <c r="J60" s="105">
        <v>0.30208333333333331</v>
      </c>
      <c r="M60" s="106">
        <f>(E60+F60)-(C60+D60)</f>
        <v>0.1131944444423425</v>
      </c>
      <c r="N60" s="106">
        <f t="shared" ref="N60" si="65">(G60+H60)-(E60+F60)</f>
        <v>0.56666666666569654</v>
      </c>
      <c r="O60" s="106">
        <f t="shared" ref="O60" si="66">(I60+J60)-(G60+H60)</f>
        <v>4.0972222224809229E-2</v>
      </c>
      <c r="P60" s="106">
        <f t="shared" ref="P60" si="67">(C61+D61)-(I60+J60)</f>
        <v>0.12638888888614019</v>
      </c>
      <c r="S60" s="107">
        <f>1440*M60</f>
        <v>162.9999999969732</v>
      </c>
      <c r="T60" s="107">
        <f t="shared" ref="T60" si="68">1440*N60</f>
        <v>815.99999999860302</v>
      </c>
      <c r="U60" s="107">
        <f t="shared" ref="U60" si="69">1440*O60</f>
        <v>59.00000000372529</v>
      </c>
      <c r="V60" s="107">
        <f t="shared" ref="V60" si="70">1440*P60</f>
        <v>181.99999999604188</v>
      </c>
      <c r="X60" s="61" t="s">
        <v>86</v>
      </c>
      <c r="Y60" s="61">
        <v>11000</v>
      </c>
      <c r="Z60" s="63">
        <f>SUM(S60:S68)</f>
        <v>1837.9999999981374</v>
      </c>
      <c r="AA60" s="63">
        <f>SUM(T60:T68)</f>
        <v>6869.9999999930151</v>
      </c>
      <c r="AB60" s="63">
        <f t="shared" ref="AB60:AC60" si="71">SUM(U60:U68)</f>
        <v>520.00000000814907</v>
      </c>
      <c r="AC60" s="63">
        <f t="shared" si="71"/>
        <v>1140.9999999997672</v>
      </c>
    </row>
    <row r="61" spans="1:29" ht="15.75" thickBot="1">
      <c r="A61" s="101" t="s">
        <v>270</v>
      </c>
      <c r="B61" s="59" t="s">
        <v>279</v>
      </c>
      <c r="C61" s="80">
        <v>46076</v>
      </c>
      <c r="D61" s="73">
        <v>0.4284722222222222</v>
      </c>
      <c r="E61" s="80">
        <v>46076</v>
      </c>
      <c r="F61" s="74">
        <v>0.61736111111111114</v>
      </c>
      <c r="G61" s="80">
        <v>46077</v>
      </c>
      <c r="H61" s="74">
        <v>0.15069444444444444</v>
      </c>
      <c r="I61" s="80">
        <v>46077</v>
      </c>
      <c r="J61" s="74">
        <v>0.1875</v>
      </c>
      <c r="K61" s="50"/>
      <c r="L61" s="85"/>
      <c r="M61" s="67">
        <f t="shared" ref="M61:M70" si="72">(E61+F61)-(C61+D61)</f>
        <v>0.18888888888614019</v>
      </c>
      <c r="N61" s="67">
        <f t="shared" ref="N61:N70" si="73">(G61+H61)-(E61+F61)</f>
        <v>0.53333333333284827</v>
      </c>
      <c r="O61" s="67">
        <f t="shared" ref="O61:O70" si="74">(I61+J61)-(G61+H61)</f>
        <v>3.680555555911269E-2</v>
      </c>
      <c r="P61" s="67">
        <f t="shared" ref="P61:P70" si="75">(C62+D62)-(I61+J61)</f>
        <v>4.9305555556202307E-2</v>
      </c>
      <c r="Q61" s="50"/>
      <c r="R61" s="85"/>
      <c r="S61" s="62">
        <f t="shared" ref="S61:S70" si="76">1440*M61</f>
        <v>271.99999999604188</v>
      </c>
      <c r="T61" s="62">
        <f t="shared" ref="T61:T70" si="77">1440*N61</f>
        <v>767.99999999930151</v>
      </c>
      <c r="U61" s="62">
        <f t="shared" ref="U61:U70" si="78">1440*O61</f>
        <v>53.000000005122274</v>
      </c>
      <c r="V61" s="62">
        <f t="shared" ref="V61:V70" si="79">1440*P61</f>
        <v>71.000000000931323</v>
      </c>
      <c r="Z61" s="65">
        <f>(Z60/Y60)*100</f>
        <v>16.709090909073975</v>
      </c>
      <c r="AA61" s="68">
        <f>(AA60/Y60)*100</f>
        <v>62.454545454481959</v>
      </c>
      <c r="AB61" s="65">
        <f>(AB60/Y60)*100</f>
        <v>4.7272727273468096</v>
      </c>
      <c r="AC61" s="66">
        <f>(AC60/Y60)*100</f>
        <v>10.372727272725156</v>
      </c>
    </row>
    <row r="62" spans="1:29">
      <c r="A62" s="101" t="s">
        <v>270</v>
      </c>
      <c r="B62" s="59" t="s">
        <v>279</v>
      </c>
      <c r="C62" s="80">
        <v>46077</v>
      </c>
      <c r="D62" s="18">
        <v>0.23680555555555555</v>
      </c>
      <c r="E62" s="80">
        <v>46077</v>
      </c>
      <c r="F62" s="18">
        <v>0.37569444444444444</v>
      </c>
      <c r="G62" s="80">
        <v>46077</v>
      </c>
      <c r="H62" s="18">
        <v>0.82152777777777775</v>
      </c>
      <c r="I62" s="80">
        <v>46077</v>
      </c>
      <c r="J62" s="18">
        <v>0.84305555555555556</v>
      </c>
      <c r="M62" s="103">
        <f t="shared" si="72"/>
        <v>0.13888888889050577</v>
      </c>
      <c r="N62" s="103">
        <f t="shared" si="73"/>
        <v>0.44583333333139308</v>
      </c>
      <c r="O62" s="103">
        <f t="shared" si="74"/>
        <v>2.1527777775190771E-2</v>
      </c>
      <c r="P62" s="103">
        <f t="shared" si="75"/>
        <v>0.16458333333866904</v>
      </c>
      <c r="S62" s="34">
        <f t="shared" si="76"/>
        <v>200.00000000232831</v>
      </c>
      <c r="T62" s="34">
        <f t="shared" si="77"/>
        <v>641.99999999720603</v>
      </c>
      <c r="U62" s="34">
        <f t="shared" si="78"/>
        <v>30.99999999627471</v>
      </c>
      <c r="V62" s="34">
        <f t="shared" si="79"/>
        <v>237.00000000768341</v>
      </c>
    </row>
    <row r="63" spans="1:29">
      <c r="A63" s="101" t="s">
        <v>270</v>
      </c>
      <c r="B63" s="59" t="s">
        <v>279</v>
      </c>
      <c r="C63" s="80">
        <v>46078</v>
      </c>
      <c r="D63" s="18">
        <v>7.6388888888888886E-3</v>
      </c>
      <c r="E63" s="80">
        <v>46078</v>
      </c>
      <c r="F63" s="18">
        <v>0.15555555555555556</v>
      </c>
      <c r="G63" s="80">
        <v>46078</v>
      </c>
      <c r="H63" s="18">
        <v>0.4826388888888889</v>
      </c>
      <c r="I63" s="80">
        <v>46078</v>
      </c>
      <c r="J63" s="18">
        <v>0.5541666666666667</v>
      </c>
      <c r="M63" s="103">
        <f>(E63+F63)-(C63+D63)</f>
        <v>0.14791666666133096</v>
      </c>
      <c r="N63" s="103">
        <f t="shared" si="73"/>
        <v>0.32708333333721384</v>
      </c>
      <c r="O63" s="103">
        <f t="shared" si="74"/>
        <v>7.1527777778101154E-2</v>
      </c>
      <c r="P63" s="103">
        <f t="shared" si="75"/>
        <v>5.4166666661330964E-2</v>
      </c>
      <c r="S63" s="34">
        <f t="shared" si="76"/>
        <v>212.99999999231659</v>
      </c>
      <c r="T63" s="34">
        <f t="shared" si="77"/>
        <v>471.00000000558794</v>
      </c>
      <c r="U63" s="34">
        <f t="shared" si="78"/>
        <v>103.00000000046566</v>
      </c>
      <c r="V63" s="34">
        <f t="shared" si="79"/>
        <v>77.999999992316589</v>
      </c>
    </row>
    <row r="64" spans="1:29">
      <c r="A64" s="101" t="s">
        <v>270</v>
      </c>
      <c r="B64" s="59" t="s">
        <v>279</v>
      </c>
      <c r="C64" s="80">
        <v>46078</v>
      </c>
      <c r="D64" s="18">
        <v>0.60833333333333328</v>
      </c>
      <c r="E64" s="80">
        <v>46078</v>
      </c>
      <c r="F64" s="18">
        <v>0.73958333333333337</v>
      </c>
      <c r="G64" s="80">
        <v>46079</v>
      </c>
      <c r="H64" s="18">
        <v>0.25833333333333336</v>
      </c>
      <c r="I64" s="80">
        <v>46079</v>
      </c>
      <c r="J64" s="18">
        <v>0.29791666666666666</v>
      </c>
      <c r="M64" s="103">
        <f t="shared" si="72"/>
        <v>0.13125000000582077</v>
      </c>
      <c r="N64" s="103">
        <f t="shared" si="73"/>
        <v>0.51874999999563443</v>
      </c>
      <c r="O64" s="103">
        <f t="shared" si="74"/>
        <v>3.9583333338669036E-2</v>
      </c>
      <c r="P64" s="103">
        <f t="shared" si="75"/>
        <v>7.4999999997089617E-2</v>
      </c>
      <c r="S64" s="34">
        <f t="shared" si="76"/>
        <v>189.0000000083819</v>
      </c>
      <c r="T64" s="34">
        <f t="shared" si="77"/>
        <v>746.99999999371357</v>
      </c>
      <c r="U64" s="34">
        <f t="shared" si="78"/>
        <v>57.000000007683411</v>
      </c>
      <c r="V64" s="34">
        <f t="shared" si="79"/>
        <v>107.99999999580905</v>
      </c>
    </row>
    <row r="65" spans="1:31">
      <c r="A65" s="101" t="s">
        <v>270</v>
      </c>
      <c r="B65" s="59" t="s">
        <v>279</v>
      </c>
      <c r="C65" s="80">
        <v>46079</v>
      </c>
      <c r="D65" s="18">
        <v>0.37291666666666667</v>
      </c>
      <c r="E65" s="80">
        <v>46079</v>
      </c>
      <c r="F65" s="18">
        <v>0.50694444444444442</v>
      </c>
      <c r="G65" s="80">
        <v>46080</v>
      </c>
      <c r="H65" s="18">
        <v>0.11597222222222223</v>
      </c>
      <c r="I65" s="80">
        <v>46080</v>
      </c>
      <c r="J65" s="18">
        <v>0.15972222222222221</v>
      </c>
      <c r="M65" s="103">
        <f t="shared" si="72"/>
        <v>0.13402777777810115</v>
      </c>
      <c r="N65" s="103">
        <f t="shared" si="73"/>
        <v>0.60902777777664596</v>
      </c>
      <c r="O65" s="103">
        <f t="shared" si="74"/>
        <v>4.3749999997089617E-2</v>
      </c>
      <c r="P65" s="103">
        <f t="shared" si="75"/>
        <v>7.0833333338669036E-2</v>
      </c>
      <c r="S65" s="34">
        <f t="shared" si="76"/>
        <v>193.00000000046566</v>
      </c>
      <c r="T65" s="34">
        <f t="shared" si="77"/>
        <v>876.99999999837019</v>
      </c>
      <c r="U65" s="34">
        <f t="shared" si="78"/>
        <v>62.999999995809048</v>
      </c>
      <c r="V65" s="34">
        <f t="shared" si="79"/>
        <v>102.00000000768341</v>
      </c>
    </row>
    <row r="66" spans="1:31">
      <c r="A66" s="101" t="s">
        <v>270</v>
      </c>
      <c r="B66" s="59" t="s">
        <v>279</v>
      </c>
      <c r="C66" s="80">
        <v>46080</v>
      </c>
      <c r="D66" s="18">
        <v>0.23055555555555557</v>
      </c>
      <c r="E66" s="80">
        <v>46080</v>
      </c>
      <c r="F66" s="18">
        <v>0.37361111111111112</v>
      </c>
      <c r="G66" s="80">
        <v>46080</v>
      </c>
      <c r="H66" s="18">
        <v>0.95625000000000004</v>
      </c>
      <c r="I66" s="80">
        <v>46080</v>
      </c>
      <c r="J66" s="18">
        <v>0.98958333333333337</v>
      </c>
      <c r="M66" s="103">
        <f t="shared" si="72"/>
        <v>0.14305555555620231</v>
      </c>
      <c r="N66" s="103">
        <f t="shared" si="73"/>
        <v>0.58263888888905058</v>
      </c>
      <c r="O66" s="103">
        <f t="shared" si="74"/>
        <v>3.3333333332848269E-2</v>
      </c>
      <c r="P66" s="103">
        <f t="shared" si="75"/>
        <v>0.11388888888905058</v>
      </c>
      <c r="S66" s="34">
        <f t="shared" si="76"/>
        <v>206.00000000093132</v>
      </c>
      <c r="T66" s="34">
        <f t="shared" si="77"/>
        <v>839.00000000023283</v>
      </c>
      <c r="U66" s="34">
        <f t="shared" si="78"/>
        <v>47.999999999301508</v>
      </c>
      <c r="V66" s="34">
        <f t="shared" si="79"/>
        <v>164.00000000023283</v>
      </c>
    </row>
    <row r="67" spans="1:31">
      <c r="A67" s="101" t="s">
        <v>270</v>
      </c>
      <c r="B67" s="59" t="s">
        <v>279</v>
      </c>
      <c r="C67" s="21">
        <v>46081</v>
      </c>
      <c r="D67" s="18">
        <v>0.10347222222222222</v>
      </c>
      <c r="E67" s="80">
        <v>46081</v>
      </c>
      <c r="F67" s="18">
        <v>0.25</v>
      </c>
      <c r="G67" s="80">
        <v>46081</v>
      </c>
      <c r="H67" s="18">
        <v>0.83263888888888893</v>
      </c>
      <c r="I67" s="80">
        <v>46081</v>
      </c>
      <c r="J67" s="18">
        <v>0.86875000000000002</v>
      </c>
      <c r="M67" s="103">
        <f t="shared" si="72"/>
        <v>0.14652777777519077</v>
      </c>
      <c r="N67" s="103">
        <f t="shared" si="73"/>
        <v>0.58263888888905058</v>
      </c>
      <c r="O67" s="103">
        <f t="shared" si="74"/>
        <v>3.6111111112404615E-2</v>
      </c>
      <c r="P67" s="103">
        <f t="shared" si="75"/>
        <v>7.2222222217533272E-2</v>
      </c>
      <c r="S67" s="34">
        <f t="shared" si="76"/>
        <v>210.99999999627471</v>
      </c>
      <c r="T67" s="34">
        <f t="shared" si="77"/>
        <v>839.00000000023283</v>
      </c>
      <c r="U67" s="34">
        <f t="shared" si="78"/>
        <v>52.000000001862645</v>
      </c>
      <c r="V67" s="34">
        <f t="shared" si="79"/>
        <v>103.99999999324791</v>
      </c>
    </row>
    <row r="68" spans="1:31" ht="15.75" thickBot="1">
      <c r="A68" s="102" t="s">
        <v>270</v>
      </c>
      <c r="B68" s="51" t="s">
        <v>279</v>
      </c>
      <c r="C68" s="119">
        <v>46081</v>
      </c>
      <c r="D68" s="46">
        <v>0.94097222222222221</v>
      </c>
      <c r="E68" s="45">
        <v>46082</v>
      </c>
      <c r="F68" s="46">
        <v>7.3611111111111113E-2</v>
      </c>
      <c r="G68" s="45">
        <v>46082</v>
      </c>
      <c r="H68" s="46">
        <v>0.67847222222222225</v>
      </c>
      <c r="I68" s="45">
        <v>46082</v>
      </c>
      <c r="J68" s="46">
        <v>0.71597222222222223</v>
      </c>
      <c r="M68" s="41">
        <f t="shared" si="72"/>
        <v>0.13263888889196096</v>
      </c>
      <c r="N68" s="41">
        <f t="shared" si="73"/>
        <v>0.60486111111094942</v>
      </c>
      <c r="O68" s="41">
        <f t="shared" si="74"/>
        <v>3.7499999998544808E-2</v>
      </c>
      <c r="P68" s="41">
        <f t="shared" si="75"/>
        <v>6.5972222226264421E-2</v>
      </c>
      <c r="S68" s="90">
        <f t="shared" si="76"/>
        <v>191.00000000442378</v>
      </c>
      <c r="T68" s="90">
        <f t="shared" si="77"/>
        <v>870.99999999976717</v>
      </c>
      <c r="U68" s="90">
        <f t="shared" si="78"/>
        <v>53.999999997904524</v>
      </c>
      <c r="V68" s="90">
        <f t="shared" si="79"/>
        <v>95.000000005820766</v>
      </c>
      <c r="AE68" s="70">
        <v>0.125</v>
      </c>
    </row>
    <row r="69" spans="1:31" ht="15.75" thickBot="1">
      <c r="A69" s="101" t="s">
        <v>23</v>
      </c>
      <c r="B69" s="59" t="s">
        <v>299</v>
      </c>
      <c r="C69" s="37">
        <v>46082</v>
      </c>
      <c r="D69" s="105">
        <v>0.78194444444444444</v>
      </c>
      <c r="E69" s="37">
        <v>46082</v>
      </c>
      <c r="F69" s="105">
        <v>0.91666666666666663</v>
      </c>
      <c r="G69" s="37">
        <v>46083</v>
      </c>
      <c r="H69" s="105">
        <v>0.24374999999999999</v>
      </c>
      <c r="I69" s="37">
        <v>46083</v>
      </c>
      <c r="J69" s="74">
        <v>0.28819444444444442</v>
      </c>
      <c r="M69" s="67">
        <f t="shared" si="72"/>
        <v>0.13472222221753327</v>
      </c>
      <c r="N69" s="67">
        <f t="shared" si="73"/>
        <v>0.32708333333721384</v>
      </c>
      <c r="O69" s="67">
        <f t="shared" si="74"/>
        <v>4.4444444443797693E-2</v>
      </c>
      <c r="P69" s="67">
        <f t="shared" si="75"/>
        <v>8.3333333335758653E-2</v>
      </c>
      <c r="S69" s="62">
        <f t="shared" si="76"/>
        <v>193.99999999324791</v>
      </c>
      <c r="T69" s="62">
        <f t="shared" si="77"/>
        <v>471.00000000558794</v>
      </c>
      <c r="U69" s="62">
        <f t="shared" si="78"/>
        <v>63.999999999068677</v>
      </c>
      <c r="V69" s="62">
        <f t="shared" si="79"/>
        <v>120.00000000349246</v>
      </c>
      <c r="X69" s="61" t="s">
        <v>86</v>
      </c>
      <c r="Y69" s="61">
        <v>11000</v>
      </c>
      <c r="Z69" s="63">
        <f>SUM(S69:S77)</f>
        <v>1841.9999999797437</v>
      </c>
      <c r="AA69" s="63">
        <f>SUM(T69:T77)</f>
        <v>5773.0000000318978</v>
      </c>
      <c r="AB69" s="63">
        <f>SUM(U69:U77)</f>
        <v>493.99999997578561</v>
      </c>
      <c r="AC69" s="63">
        <f>SUM(V69:V77)</f>
        <v>1270.0000000116415</v>
      </c>
    </row>
    <row r="70" spans="1:31" ht="15.75" thickBot="1">
      <c r="A70" s="101" t="s">
        <v>23</v>
      </c>
      <c r="B70" s="59" t="s">
        <v>299</v>
      </c>
      <c r="C70" s="80">
        <v>46083</v>
      </c>
      <c r="D70" s="74">
        <v>0.37152777777777779</v>
      </c>
      <c r="E70" s="80">
        <v>46083</v>
      </c>
      <c r="F70" s="74">
        <v>0.50208333333333333</v>
      </c>
      <c r="G70" s="80">
        <v>46083</v>
      </c>
      <c r="H70" s="74">
        <v>0.93541666666666667</v>
      </c>
      <c r="I70" s="80">
        <v>46083</v>
      </c>
      <c r="J70" s="18">
        <v>0.97291666666666665</v>
      </c>
      <c r="M70" s="103">
        <f t="shared" si="72"/>
        <v>0.13055555555183673</v>
      </c>
      <c r="N70" s="103">
        <f t="shared" si="73"/>
        <v>0.43333333333430346</v>
      </c>
      <c r="O70" s="103">
        <f t="shared" si="74"/>
        <v>3.7499999998544808E-2</v>
      </c>
      <c r="P70" s="103">
        <f t="shared" si="75"/>
        <v>9.4444444446708076E-2</v>
      </c>
      <c r="S70" s="34">
        <f t="shared" si="76"/>
        <v>187.9999999946449</v>
      </c>
      <c r="T70" s="34">
        <f t="shared" si="77"/>
        <v>624.00000000139698</v>
      </c>
      <c r="U70" s="34">
        <f t="shared" si="78"/>
        <v>53.999999997904524</v>
      </c>
      <c r="V70" s="34">
        <f t="shared" si="79"/>
        <v>136.00000000325963</v>
      </c>
      <c r="Z70" s="65">
        <f>(Z69/Y69)*100</f>
        <v>16.745454545270398</v>
      </c>
      <c r="AA70" s="68">
        <f>(AA69/Y69)*100</f>
        <v>52.481818182108164</v>
      </c>
      <c r="AB70" s="65">
        <f>(AB69/Y69)*100</f>
        <v>4.4909090906889606</v>
      </c>
      <c r="AC70" s="66">
        <f>(AC69/Y69)*100</f>
        <v>11.545454545560379</v>
      </c>
    </row>
    <row r="71" spans="1:31">
      <c r="A71" s="101" t="s">
        <v>23</v>
      </c>
      <c r="B71" s="59" t="s">
        <v>299</v>
      </c>
      <c r="C71" s="80">
        <v>46084</v>
      </c>
      <c r="D71" s="18">
        <v>6.7361111111111108E-2</v>
      </c>
      <c r="E71" s="80">
        <v>46084</v>
      </c>
      <c r="F71" s="18">
        <v>0.19722222222222222</v>
      </c>
      <c r="G71" s="80">
        <v>46084</v>
      </c>
      <c r="H71" s="18">
        <v>0.75555555555555554</v>
      </c>
      <c r="I71" s="80">
        <v>46084</v>
      </c>
      <c r="J71" s="18">
        <v>0.79374999999999996</v>
      </c>
      <c r="M71" s="67">
        <f t="shared" ref="M71:M74" si="80">(E71+F71)-(C71+D71)</f>
        <v>0.12986111111240461</v>
      </c>
      <c r="N71" s="67">
        <f t="shared" ref="N71:N74" si="81">(G71+H71)-(E71+F71)</f>
        <v>0.55833333333430346</v>
      </c>
      <c r="O71" s="67">
        <f t="shared" ref="O71:O74" si="82">(I71+J71)-(G71+H71)</f>
        <v>3.8194444437976927E-2</v>
      </c>
      <c r="P71" s="67">
        <f t="shared" ref="P71:P74" si="83">(C72+D72)-(I71+J71)</f>
        <v>8.6111111115314998E-2</v>
      </c>
      <c r="S71" s="62">
        <f t="shared" ref="S71:S75" si="84">1440*M71</f>
        <v>187.00000000186265</v>
      </c>
      <c r="T71" s="62">
        <f t="shared" ref="T71:T75" si="85">1440*N71</f>
        <v>804.00000000139698</v>
      </c>
      <c r="U71" s="62">
        <f t="shared" ref="U71:U75" si="86">1440*O71</f>
        <v>54.999999990686774</v>
      </c>
      <c r="V71" s="62">
        <f t="shared" ref="V71:V75" si="87">1440*P71</f>
        <v>124.0000000060536</v>
      </c>
    </row>
    <row r="72" spans="1:31">
      <c r="A72" s="101" t="s">
        <v>23</v>
      </c>
      <c r="B72" s="59" t="s">
        <v>299</v>
      </c>
      <c r="C72" s="80">
        <v>46084</v>
      </c>
      <c r="D72" s="18">
        <v>0.87986111111111109</v>
      </c>
      <c r="E72" s="80">
        <v>46085</v>
      </c>
      <c r="F72" s="18">
        <v>2.1527777777777778E-2</v>
      </c>
      <c r="G72" s="80">
        <v>46085</v>
      </c>
      <c r="H72" s="18">
        <v>0.48680555555555555</v>
      </c>
      <c r="I72" s="80">
        <v>46085</v>
      </c>
      <c r="J72" s="18">
        <v>0.52569444444444446</v>
      </c>
      <c r="M72" s="103">
        <f t="shared" si="80"/>
        <v>0.14166666666278616</v>
      </c>
      <c r="N72" s="103">
        <f t="shared" si="81"/>
        <v>0.46527777778101154</v>
      </c>
      <c r="O72" s="103">
        <f t="shared" si="82"/>
        <v>3.8888888884685002E-2</v>
      </c>
      <c r="P72" s="103">
        <f t="shared" si="83"/>
        <v>0.10902777778392192</v>
      </c>
      <c r="S72" s="34">
        <f t="shared" si="84"/>
        <v>203.99999999441206</v>
      </c>
      <c r="T72" s="34">
        <f t="shared" si="85"/>
        <v>670.00000000465661</v>
      </c>
      <c r="U72" s="34">
        <f t="shared" si="86"/>
        <v>55.999999993946403</v>
      </c>
      <c r="V72" s="34">
        <f t="shared" si="87"/>
        <v>157.00000000884756</v>
      </c>
    </row>
    <row r="73" spans="1:31">
      <c r="A73" s="101" t="s">
        <v>23</v>
      </c>
      <c r="B73" s="59" t="s">
        <v>299</v>
      </c>
      <c r="C73" s="80">
        <v>46085</v>
      </c>
      <c r="D73" s="18">
        <v>0.63472222222222219</v>
      </c>
      <c r="E73" s="80">
        <v>46085</v>
      </c>
      <c r="F73" s="18">
        <v>0.77847222222222223</v>
      </c>
      <c r="G73" s="80">
        <v>46086</v>
      </c>
      <c r="H73" s="18">
        <v>0.38472222222222224</v>
      </c>
      <c r="I73" s="80">
        <v>46086</v>
      </c>
      <c r="J73" s="18">
        <v>0.41736111111111113</v>
      </c>
      <c r="M73" s="67">
        <f t="shared" si="80"/>
        <v>0.14374999999563443</v>
      </c>
      <c r="N73" s="67">
        <f t="shared" si="81"/>
        <v>0.60625000000436557</v>
      </c>
      <c r="O73" s="67">
        <f t="shared" si="82"/>
        <v>3.2638888886140194E-2</v>
      </c>
      <c r="P73" s="67">
        <f t="shared" si="83"/>
        <v>8.2638888889050577E-2</v>
      </c>
      <c r="S73" s="62">
        <f t="shared" si="84"/>
        <v>206.99999999371357</v>
      </c>
      <c r="T73" s="62">
        <f t="shared" si="85"/>
        <v>873.00000000628643</v>
      </c>
      <c r="U73" s="62">
        <f t="shared" si="86"/>
        <v>46.999999996041879</v>
      </c>
      <c r="V73" s="62">
        <f t="shared" si="87"/>
        <v>119.00000000023283</v>
      </c>
    </row>
    <row r="74" spans="1:31">
      <c r="A74" s="101" t="s">
        <v>23</v>
      </c>
      <c r="B74" s="59" t="s">
        <v>299</v>
      </c>
      <c r="C74" s="80">
        <v>46086</v>
      </c>
      <c r="D74" s="18">
        <v>0.5</v>
      </c>
      <c r="E74" s="80">
        <v>46086</v>
      </c>
      <c r="F74" s="18">
        <v>0.69861111111111107</v>
      </c>
      <c r="G74" s="80">
        <v>46086</v>
      </c>
      <c r="H74" s="18">
        <v>0.71250000000000002</v>
      </c>
      <c r="I74" s="80">
        <v>46086</v>
      </c>
      <c r="J74" s="18">
        <v>0.74791666666666667</v>
      </c>
      <c r="M74" s="103">
        <f t="shared" si="80"/>
        <v>0.19861111111094942</v>
      </c>
      <c r="N74" s="103">
        <f t="shared" si="81"/>
        <v>1.3888888890505768E-2</v>
      </c>
      <c r="O74" s="103">
        <f t="shared" si="82"/>
        <v>3.5416666665696539E-2</v>
      </c>
      <c r="P74" s="103">
        <f t="shared" si="83"/>
        <v>4.9305555556202307E-2</v>
      </c>
      <c r="S74" s="34">
        <f t="shared" si="84"/>
        <v>285.99999999976717</v>
      </c>
      <c r="T74" s="34">
        <f t="shared" si="85"/>
        <v>20.000000002328306</v>
      </c>
      <c r="U74" s="34">
        <f t="shared" si="86"/>
        <v>50.999999998603016</v>
      </c>
      <c r="V74" s="34">
        <f t="shared" si="87"/>
        <v>71.000000000931323</v>
      </c>
    </row>
    <row r="75" spans="1:31">
      <c r="A75" s="101" t="s">
        <v>23</v>
      </c>
      <c r="B75" s="59" t="s">
        <v>299</v>
      </c>
      <c r="C75" s="80">
        <v>46086</v>
      </c>
      <c r="D75" s="18">
        <v>0.79722222222222228</v>
      </c>
      <c r="E75" s="80">
        <v>46086</v>
      </c>
      <c r="F75" s="18">
        <v>0.90763888888888888</v>
      </c>
      <c r="G75" s="80">
        <v>46087</v>
      </c>
      <c r="H75" s="18">
        <v>0.37361111111111112</v>
      </c>
      <c r="I75" s="80">
        <v>46087</v>
      </c>
      <c r="J75" s="18">
        <v>0.40902777777777777</v>
      </c>
      <c r="M75" s="67">
        <f t="shared" ref="M75:M87" si="88">(E75+F75)-(C75+D75)</f>
        <v>0.11041666666278616</v>
      </c>
      <c r="N75" s="67">
        <f t="shared" ref="N75:N87" si="89">(G75+H75)-(E75+F75)</f>
        <v>0.46597222222771961</v>
      </c>
      <c r="O75" s="67">
        <f t="shared" ref="O75:O87" si="90">(I75+J75)-(G75+H75)</f>
        <v>3.5416666665696539E-2</v>
      </c>
      <c r="P75" s="67">
        <f t="shared" ref="P75:P87" si="91">(C76+D76)-(I75+J75)</f>
        <v>0.23541666666278616</v>
      </c>
      <c r="S75" s="62">
        <f t="shared" si="84"/>
        <v>158.99999999441206</v>
      </c>
      <c r="T75" s="62">
        <f t="shared" si="85"/>
        <v>671.00000000791624</v>
      </c>
      <c r="U75" s="62">
        <f t="shared" si="86"/>
        <v>50.999999998603016</v>
      </c>
      <c r="V75" s="62">
        <f t="shared" si="87"/>
        <v>338.99999999441206</v>
      </c>
    </row>
    <row r="76" spans="1:31">
      <c r="A76" s="101" t="s">
        <v>23</v>
      </c>
      <c r="B76" s="59" t="s">
        <v>299</v>
      </c>
      <c r="C76" s="80">
        <v>46087</v>
      </c>
      <c r="D76" s="18">
        <v>0.64444444444444449</v>
      </c>
      <c r="E76" s="80">
        <v>46087</v>
      </c>
      <c r="F76" s="18">
        <v>0.80763888888888891</v>
      </c>
      <c r="G76" s="80">
        <v>46088</v>
      </c>
      <c r="H76" s="18">
        <v>0.38263888888888886</v>
      </c>
      <c r="I76" s="80">
        <v>46088</v>
      </c>
      <c r="J76" s="18">
        <v>0.41805555555555557</v>
      </c>
      <c r="M76" s="103">
        <f t="shared" si="88"/>
        <v>0.16319444444525288</v>
      </c>
      <c r="N76" s="103">
        <f t="shared" si="89"/>
        <v>0.57500000000436557</v>
      </c>
      <c r="O76" s="103">
        <f t="shared" si="90"/>
        <v>3.5416666665696539E-2</v>
      </c>
      <c r="P76" s="103">
        <f t="shared" si="91"/>
        <v>9.9305555551836733E-2</v>
      </c>
      <c r="S76" s="34">
        <f t="shared" ref="S76:S87" si="92">1440*M76</f>
        <v>235.00000000116415</v>
      </c>
      <c r="T76" s="34">
        <f t="shared" ref="T76:T87" si="93">1440*N76</f>
        <v>828.00000000628643</v>
      </c>
      <c r="U76" s="34">
        <f t="shared" ref="U76:U87" si="94">1440*O76</f>
        <v>50.999999998603016</v>
      </c>
      <c r="V76" s="34">
        <f t="shared" ref="V76:V87" si="95">1440*P76</f>
        <v>142.9999999946449</v>
      </c>
    </row>
    <row r="77" spans="1:31" ht="15.75" thickBot="1">
      <c r="A77" s="102" t="s">
        <v>23</v>
      </c>
      <c r="B77" s="51" t="s">
        <v>299</v>
      </c>
      <c r="C77" s="45">
        <v>46088</v>
      </c>
      <c r="D77" s="46">
        <v>0.51736111111111116</v>
      </c>
      <c r="E77" s="45">
        <v>46088</v>
      </c>
      <c r="F77" s="46">
        <v>0.64375000000000004</v>
      </c>
      <c r="G77" s="45">
        <v>46089</v>
      </c>
      <c r="H77" s="46">
        <v>0.2076388888888889</v>
      </c>
      <c r="I77" s="45">
        <v>46089</v>
      </c>
      <c r="J77" s="46">
        <v>0.25277777777777777</v>
      </c>
      <c r="M77" s="41">
        <f t="shared" si="88"/>
        <v>0.12638888889341615</v>
      </c>
      <c r="N77" s="41">
        <f t="shared" si="89"/>
        <v>0.56388888888614019</v>
      </c>
      <c r="O77" s="41">
        <f t="shared" si="90"/>
        <v>4.5138888890505768E-2</v>
      </c>
      <c r="P77" s="41">
        <f t="shared" si="91"/>
        <v>4.2361111110949423E-2</v>
      </c>
      <c r="S77" s="90">
        <f t="shared" si="92"/>
        <v>182.00000000651926</v>
      </c>
      <c r="T77" s="90">
        <f t="shared" si="93"/>
        <v>811.99999999604188</v>
      </c>
      <c r="U77" s="90">
        <f t="shared" si="94"/>
        <v>65.000000002328306</v>
      </c>
      <c r="V77" s="90">
        <f t="shared" si="95"/>
        <v>60.999999999767169</v>
      </c>
    </row>
    <row r="78" spans="1:31" ht="15.75" thickBot="1">
      <c r="A78" s="101" t="s">
        <v>24</v>
      </c>
      <c r="B78" s="59" t="s">
        <v>324</v>
      </c>
      <c r="C78" s="80">
        <v>46089</v>
      </c>
      <c r="D78" s="74">
        <v>0.2951388888888889</v>
      </c>
      <c r="E78" s="80">
        <v>46089</v>
      </c>
      <c r="F78" s="74">
        <v>0.60972222222222228</v>
      </c>
      <c r="G78" s="80">
        <v>46090</v>
      </c>
      <c r="H78" s="74">
        <v>0.18402777777777779</v>
      </c>
      <c r="I78" s="80">
        <v>46090</v>
      </c>
      <c r="J78" s="74">
        <v>0.22222222222222221</v>
      </c>
      <c r="M78" s="67">
        <f t="shared" si="88"/>
        <v>0.31458333333284827</v>
      </c>
      <c r="N78" s="67">
        <f t="shared" si="89"/>
        <v>0.5743055555576575</v>
      </c>
      <c r="O78" s="67">
        <f t="shared" si="90"/>
        <v>3.8194444437976927E-2</v>
      </c>
      <c r="P78" s="67">
        <f t="shared" si="91"/>
        <v>9.7222222226264421E-2</v>
      </c>
      <c r="S78" s="62">
        <f t="shared" si="92"/>
        <v>452.99999999930151</v>
      </c>
      <c r="T78" s="62">
        <f t="shared" si="93"/>
        <v>827.0000000030268</v>
      </c>
      <c r="U78" s="62">
        <f t="shared" si="94"/>
        <v>54.999999990686774</v>
      </c>
      <c r="V78" s="62">
        <f t="shared" si="95"/>
        <v>140.00000000582077</v>
      </c>
      <c r="X78" s="61" t="s">
        <v>86</v>
      </c>
      <c r="Y78" s="61">
        <v>11000</v>
      </c>
      <c r="Z78" s="63">
        <f>SUM(S78:S85)</f>
        <v>1733.0000000016298</v>
      </c>
      <c r="AA78" s="63">
        <f>SUM(T78:T85)</f>
        <v>5863.9999999932479</v>
      </c>
      <c r="AB78" s="63">
        <f>SUM(U78:U85)</f>
        <v>408.99999999208376</v>
      </c>
      <c r="AC78" s="64">
        <f>SUM(V78:V85)</f>
        <v>2576.0000000149012</v>
      </c>
    </row>
    <row r="79" spans="1:31" ht="15.75" thickBot="1">
      <c r="A79" s="92" t="s">
        <v>24</v>
      </c>
      <c r="B79" s="20" t="s">
        <v>324</v>
      </c>
      <c r="C79" s="80">
        <v>46090</v>
      </c>
      <c r="D79" s="18">
        <v>0.31944444444444442</v>
      </c>
      <c r="E79" s="80">
        <v>46090</v>
      </c>
      <c r="F79" s="18">
        <v>0.46597222222222223</v>
      </c>
      <c r="G79" s="80">
        <v>46090</v>
      </c>
      <c r="H79" s="18">
        <v>0.73124999999999996</v>
      </c>
      <c r="I79" s="80">
        <v>46090</v>
      </c>
      <c r="J79" s="18">
        <v>0.77222222222222225</v>
      </c>
      <c r="M79" s="67">
        <f t="shared" si="88"/>
        <v>0.14652777777519077</v>
      </c>
      <c r="N79" s="67">
        <f t="shared" si="89"/>
        <v>0.26527777777664596</v>
      </c>
      <c r="O79" s="67">
        <f t="shared" si="90"/>
        <v>4.0972222224809229E-2</v>
      </c>
      <c r="P79" s="67">
        <f t="shared" si="91"/>
        <v>9.5833333332848269E-2</v>
      </c>
      <c r="S79" s="62">
        <f t="shared" si="92"/>
        <v>210.99999999627471</v>
      </c>
      <c r="T79" s="62">
        <f t="shared" si="93"/>
        <v>381.99999999837019</v>
      </c>
      <c r="U79" s="62">
        <f t="shared" si="94"/>
        <v>59.00000000372529</v>
      </c>
      <c r="V79" s="62">
        <f t="shared" si="95"/>
        <v>137.99999999930151</v>
      </c>
      <c r="Z79" s="65">
        <f>(Z78/Y78)*100</f>
        <v>15.754545454560271</v>
      </c>
      <c r="AA79" s="68">
        <f>(AA78/Y78)*100</f>
        <v>53.309090909029521</v>
      </c>
      <c r="AB79" s="65">
        <f>(AB78/Y78)*100</f>
        <v>3.7181818181098523</v>
      </c>
      <c r="AC79" s="66">
        <f>(AC78/Y78)*100</f>
        <v>23.418181818317283</v>
      </c>
    </row>
    <row r="80" spans="1:31">
      <c r="A80" s="92" t="s">
        <v>24</v>
      </c>
      <c r="B80" s="20" t="s">
        <v>324</v>
      </c>
      <c r="C80" s="80">
        <v>46090</v>
      </c>
      <c r="D80" s="18">
        <v>0.86805555555555558</v>
      </c>
      <c r="E80" s="80">
        <v>46090</v>
      </c>
      <c r="F80" s="18">
        <v>0.98958333333333337</v>
      </c>
      <c r="G80" s="80">
        <v>46091</v>
      </c>
      <c r="H80" s="18">
        <v>0.38819444444444445</v>
      </c>
      <c r="I80" s="80">
        <v>46091</v>
      </c>
      <c r="J80" s="18">
        <v>0.40208333333333335</v>
      </c>
      <c r="M80" s="103">
        <f t="shared" si="88"/>
        <v>0.12152777778101154</v>
      </c>
      <c r="N80" s="103">
        <f t="shared" si="89"/>
        <v>0.39861111110803904</v>
      </c>
      <c r="O80" s="103">
        <f t="shared" si="90"/>
        <v>1.3888888890505768E-2</v>
      </c>
      <c r="P80" s="103">
        <f t="shared" si="91"/>
        <v>0.70208333332993789</v>
      </c>
      <c r="S80" s="34">
        <f t="shared" si="92"/>
        <v>175.00000000465661</v>
      </c>
      <c r="T80" s="34">
        <f t="shared" si="93"/>
        <v>573.99999999557622</v>
      </c>
      <c r="U80" s="34">
        <f t="shared" si="94"/>
        <v>20.000000002328306</v>
      </c>
      <c r="V80" s="34">
        <f t="shared" si="95"/>
        <v>1010.9999999951106</v>
      </c>
    </row>
    <row r="81" spans="1:29">
      <c r="A81" s="92" t="s">
        <v>24</v>
      </c>
      <c r="B81" s="20" t="s">
        <v>324</v>
      </c>
      <c r="C81" s="80">
        <v>46092</v>
      </c>
      <c r="D81" s="18">
        <v>0.10416666666666667</v>
      </c>
      <c r="E81" s="80">
        <v>46092</v>
      </c>
      <c r="F81" s="18">
        <v>0.20624999999999999</v>
      </c>
      <c r="G81" s="133">
        <v>46092</v>
      </c>
      <c r="H81" s="134">
        <v>0.78055555555555556</v>
      </c>
      <c r="I81" s="133">
        <v>46092</v>
      </c>
      <c r="J81" s="134">
        <v>0.81666666666666665</v>
      </c>
      <c r="M81" s="67">
        <f t="shared" si="88"/>
        <v>0.10208333333866904</v>
      </c>
      <c r="N81" s="67">
        <f t="shared" si="89"/>
        <v>0.57430555555038154</v>
      </c>
      <c r="O81" s="67">
        <f t="shared" si="90"/>
        <v>3.6111111112404615E-2</v>
      </c>
      <c r="P81" s="67">
        <f t="shared" si="91"/>
        <v>8.4027777775190771E-2</v>
      </c>
      <c r="S81" s="62">
        <f t="shared" si="92"/>
        <v>147.00000000768341</v>
      </c>
      <c r="T81" s="62">
        <f t="shared" si="93"/>
        <v>826.99999999254942</v>
      </c>
      <c r="U81" s="62">
        <f t="shared" si="94"/>
        <v>52.000000001862645</v>
      </c>
      <c r="V81" s="62">
        <f t="shared" si="95"/>
        <v>120.99999999627471</v>
      </c>
    </row>
    <row r="82" spans="1:29">
      <c r="A82" s="92" t="s">
        <v>24</v>
      </c>
      <c r="B82" s="20" t="s">
        <v>324</v>
      </c>
      <c r="C82" s="80">
        <v>46092</v>
      </c>
      <c r="D82" s="18">
        <v>0.90069444444444446</v>
      </c>
      <c r="E82" s="80">
        <v>46093</v>
      </c>
      <c r="F82" s="18">
        <v>6.5277777777777782E-2</v>
      </c>
      <c r="G82" s="133">
        <v>46093</v>
      </c>
      <c r="H82" s="134">
        <v>0.6479166666666667</v>
      </c>
      <c r="I82" s="133">
        <v>46093</v>
      </c>
      <c r="J82" s="134">
        <v>0.6875</v>
      </c>
      <c r="M82" s="103">
        <f t="shared" si="88"/>
        <v>0.16458333333866904</v>
      </c>
      <c r="N82" s="103">
        <f t="shared" si="89"/>
        <v>0.58263888888905058</v>
      </c>
      <c r="O82" s="103">
        <f t="shared" si="90"/>
        <v>3.9583333331393078E-2</v>
      </c>
      <c r="P82" s="103">
        <f t="shared" si="91"/>
        <v>0.45833333333575865</v>
      </c>
      <c r="S82" s="34">
        <f t="shared" si="92"/>
        <v>237.00000000768341</v>
      </c>
      <c r="T82" s="34">
        <f t="shared" si="93"/>
        <v>839.00000000023283</v>
      </c>
      <c r="U82" s="34">
        <f t="shared" si="94"/>
        <v>56.999999997206032</v>
      </c>
      <c r="V82" s="34">
        <f t="shared" si="95"/>
        <v>660.00000000349246</v>
      </c>
    </row>
    <row r="83" spans="1:29">
      <c r="A83" s="92" t="s">
        <v>24</v>
      </c>
      <c r="B83" s="20" t="s">
        <v>324</v>
      </c>
      <c r="C83" s="80">
        <v>46094</v>
      </c>
      <c r="D83" s="18">
        <v>0.14583333333333334</v>
      </c>
      <c r="E83" s="80">
        <v>46094</v>
      </c>
      <c r="F83" s="18">
        <v>0.24930555555555556</v>
      </c>
      <c r="G83" s="80">
        <v>46094</v>
      </c>
      <c r="H83" s="18">
        <v>0.82499999999999996</v>
      </c>
      <c r="I83" s="80">
        <v>46094</v>
      </c>
      <c r="J83" s="18">
        <v>0.86111111111111116</v>
      </c>
      <c r="M83" s="67">
        <f t="shared" si="88"/>
        <v>0.10347222221753327</v>
      </c>
      <c r="N83" s="67">
        <f t="shared" si="89"/>
        <v>0.57569444444379769</v>
      </c>
      <c r="O83" s="67">
        <f t="shared" si="90"/>
        <v>3.6111111112404615E-2</v>
      </c>
      <c r="P83" s="67">
        <f t="shared" si="91"/>
        <v>0.17569444444961846</v>
      </c>
      <c r="S83" s="62">
        <f t="shared" si="92"/>
        <v>148.99999999324791</v>
      </c>
      <c r="T83" s="62">
        <f t="shared" si="93"/>
        <v>828.99999999906868</v>
      </c>
      <c r="U83" s="62">
        <f t="shared" si="94"/>
        <v>52.000000001862645</v>
      </c>
      <c r="V83" s="62">
        <f t="shared" si="95"/>
        <v>253.00000000745058</v>
      </c>
    </row>
    <row r="84" spans="1:29">
      <c r="A84" s="92" t="s">
        <v>24</v>
      </c>
      <c r="B84" s="20" t="s">
        <v>324</v>
      </c>
      <c r="C84" s="80">
        <v>46095</v>
      </c>
      <c r="D84" s="18">
        <v>3.6805555555555557E-2</v>
      </c>
      <c r="E84" s="80">
        <v>46095</v>
      </c>
      <c r="F84" s="18">
        <v>0.14861111111111111</v>
      </c>
      <c r="G84" s="80">
        <v>46095</v>
      </c>
      <c r="H84" s="18">
        <v>0.69305555555555554</v>
      </c>
      <c r="I84" s="80">
        <v>46095</v>
      </c>
      <c r="J84" s="18">
        <v>0.73819444444444449</v>
      </c>
      <c r="M84" s="103">
        <f t="shared" si="88"/>
        <v>0.11180555554892635</v>
      </c>
      <c r="N84" s="103">
        <f t="shared" si="89"/>
        <v>0.54444444445107365</v>
      </c>
      <c r="O84" s="103">
        <f t="shared" si="90"/>
        <v>4.5138888883229811E-2</v>
      </c>
      <c r="P84" s="103">
        <f t="shared" si="91"/>
        <v>4.5833333337213844E-2</v>
      </c>
      <c r="S84" s="34">
        <f t="shared" si="92"/>
        <v>160.99999999045394</v>
      </c>
      <c r="T84" s="34">
        <f t="shared" si="93"/>
        <v>784.00000000954606</v>
      </c>
      <c r="U84" s="34">
        <f t="shared" si="94"/>
        <v>64.999999991850927</v>
      </c>
      <c r="V84" s="34">
        <f t="shared" si="95"/>
        <v>66.000000005587935</v>
      </c>
    </row>
    <row r="85" spans="1:29" ht="15.75" thickBot="1">
      <c r="A85" s="102" t="s">
        <v>24</v>
      </c>
      <c r="B85" s="51" t="s">
        <v>324</v>
      </c>
      <c r="C85" s="45">
        <v>46095</v>
      </c>
      <c r="D85" s="46">
        <v>0.78402777777777777</v>
      </c>
      <c r="E85" s="45">
        <v>46095</v>
      </c>
      <c r="F85" s="46">
        <v>0.92291666666666672</v>
      </c>
      <c r="G85" s="45">
        <v>46096</v>
      </c>
      <c r="H85" s="46">
        <v>0.47986111111111113</v>
      </c>
      <c r="I85" s="45">
        <v>46096</v>
      </c>
      <c r="J85" s="46">
        <v>0.51388888888888884</v>
      </c>
      <c r="M85" s="41">
        <f t="shared" si="88"/>
        <v>0.13888888889050577</v>
      </c>
      <c r="N85" s="41">
        <f t="shared" si="89"/>
        <v>0.55694444444088731</v>
      </c>
      <c r="O85" s="41">
        <f t="shared" si="90"/>
        <v>3.4027777779556345E-2</v>
      </c>
      <c r="P85" s="41">
        <f t="shared" si="91"/>
        <v>0.12986111111240461</v>
      </c>
      <c r="S85" s="90">
        <f t="shared" si="92"/>
        <v>200.00000000232831</v>
      </c>
      <c r="T85" s="90">
        <f t="shared" si="93"/>
        <v>801.99999999487773</v>
      </c>
      <c r="U85" s="90">
        <f t="shared" si="94"/>
        <v>49.000000002561137</v>
      </c>
      <c r="V85" s="90">
        <f t="shared" si="95"/>
        <v>187.00000000186265</v>
      </c>
    </row>
    <row r="86" spans="1:29" ht="15.75" thickBot="1">
      <c r="A86" s="101" t="s">
        <v>25</v>
      </c>
      <c r="B86" s="59" t="s">
        <v>361</v>
      </c>
      <c r="C86" s="80">
        <v>46096</v>
      </c>
      <c r="D86" s="74">
        <v>0.64375000000000004</v>
      </c>
      <c r="E86" s="80">
        <v>46096</v>
      </c>
      <c r="F86" s="74">
        <v>0.75277777777777777</v>
      </c>
      <c r="G86" s="80">
        <v>46097</v>
      </c>
      <c r="H86" s="74">
        <v>0.22291666666666668</v>
      </c>
      <c r="I86" s="80">
        <v>46097</v>
      </c>
      <c r="J86" s="74">
        <v>0.30138888888888887</v>
      </c>
      <c r="M86" s="67">
        <f t="shared" si="88"/>
        <v>0.10902777777664596</v>
      </c>
      <c r="N86" s="67">
        <f t="shared" si="89"/>
        <v>0.47013888888614019</v>
      </c>
      <c r="O86" s="67">
        <f t="shared" si="90"/>
        <v>7.8472222223354038E-2</v>
      </c>
      <c r="P86" s="67">
        <f t="shared" si="91"/>
        <v>0.14236111110949423</v>
      </c>
      <c r="S86" s="62">
        <f t="shared" si="92"/>
        <v>156.99999999837019</v>
      </c>
      <c r="T86" s="62">
        <f t="shared" si="93"/>
        <v>676.99999999604188</v>
      </c>
      <c r="U86" s="62">
        <f t="shared" si="94"/>
        <v>113.00000000162981</v>
      </c>
      <c r="V86" s="62">
        <f t="shared" si="95"/>
        <v>204.99999999767169</v>
      </c>
      <c r="X86" s="61" t="s">
        <v>86</v>
      </c>
      <c r="Y86" s="61">
        <v>11000</v>
      </c>
      <c r="Z86" s="63">
        <f>SUM(S86:S93)</f>
        <v>1782.000000004191</v>
      </c>
      <c r="AA86" s="63">
        <f>SUM(T86:T93)</f>
        <v>5774.9999999965075</v>
      </c>
      <c r="AB86" s="63">
        <f>SUM(U86:U93)</f>
        <v>520.00000000814907</v>
      </c>
      <c r="AC86" s="64">
        <f>SUM(V86:V93)</f>
        <v>3629.9999999825377</v>
      </c>
    </row>
    <row r="87" spans="1:29" ht="15.75" thickBot="1">
      <c r="A87" s="92" t="s">
        <v>25</v>
      </c>
      <c r="B87" s="20" t="s">
        <v>361</v>
      </c>
      <c r="C87" s="80">
        <v>46097</v>
      </c>
      <c r="D87" s="18">
        <v>0.44374999999999998</v>
      </c>
      <c r="E87" s="80">
        <v>46097</v>
      </c>
      <c r="F87" s="18">
        <v>0.66666666666666663</v>
      </c>
      <c r="G87" s="80">
        <v>46098</v>
      </c>
      <c r="H87" s="18">
        <v>0.26874999999999999</v>
      </c>
      <c r="I87" s="80">
        <v>46098</v>
      </c>
      <c r="J87" s="18">
        <v>0.3298611111111111</v>
      </c>
      <c r="M87" s="67">
        <f t="shared" si="88"/>
        <v>0.22291666666569654</v>
      </c>
      <c r="N87" s="67">
        <f t="shared" si="89"/>
        <v>0.60208333333866904</v>
      </c>
      <c r="O87" s="67">
        <f t="shared" si="90"/>
        <v>6.1111111106583849E-2</v>
      </c>
      <c r="P87" s="67">
        <f t="shared" si="91"/>
        <v>9.2361111113859806E-2</v>
      </c>
      <c r="S87" s="62">
        <f t="shared" si="92"/>
        <v>320.99999999860302</v>
      </c>
      <c r="T87" s="62">
        <f t="shared" si="93"/>
        <v>867.00000000768341</v>
      </c>
      <c r="U87" s="62">
        <f t="shared" si="94"/>
        <v>87.999999993480742</v>
      </c>
      <c r="V87" s="62">
        <f t="shared" si="95"/>
        <v>133.00000000395812</v>
      </c>
      <c r="Z87" s="65">
        <f>(Z86/Y86)*100</f>
        <v>16.200000000038102</v>
      </c>
      <c r="AA87" s="68">
        <f>(AA86/Y86)*100</f>
        <v>52.499999999968253</v>
      </c>
      <c r="AB87" s="65">
        <f>(AB86/Y86)*100</f>
        <v>4.7272727273468096</v>
      </c>
      <c r="AC87" s="66">
        <f>(AC86/Y86)*100</f>
        <v>32.999999999841251</v>
      </c>
    </row>
    <row r="88" spans="1:29">
      <c r="A88" s="92" t="s">
        <v>25</v>
      </c>
      <c r="B88" s="20" t="s">
        <v>361</v>
      </c>
      <c r="C88" s="80">
        <v>46098</v>
      </c>
      <c r="D88" s="18">
        <v>0.42222222222222222</v>
      </c>
      <c r="E88" s="80">
        <v>46098</v>
      </c>
      <c r="F88" s="18">
        <v>0.72083333333333333</v>
      </c>
      <c r="G88" s="80">
        <v>46099</v>
      </c>
      <c r="H88" s="18">
        <v>2.9166666666666667E-2</v>
      </c>
      <c r="I88" s="80">
        <v>46099</v>
      </c>
      <c r="J88" s="18">
        <v>8.4722222222222227E-2</v>
      </c>
      <c r="M88" s="103">
        <f t="shared" ref="M88:M96" si="96">(E88+F88)-(C88+D88)</f>
        <v>0.29861111110949423</v>
      </c>
      <c r="N88" s="103">
        <f t="shared" ref="N88:N96" si="97">(G88+H88)-(E88+F88)</f>
        <v>0.30833333333430346</v>
      </c>
      <c r="O88" s="103">
        <f t="shared" ref="O88:O96" si="98">(I88+J88)-(G88+H88)</f>
        <v>5.5555555554747116E-2</v>
      </c>
      <c r="P88" s="103">
        <f>(C89+D89)-(I88+J88)</f>
        <v>0.41458333333139308</v>
      </c>
      <c r="S88" s="62">
        <f t="shared" ref="S88:S96" si="99">1440*M88</f>
        <v>429.99999999767169</v>
      </c>
      <c r="T88" s="62">
        <f t="shared" ref="T88:T96" si="100">1440*N88</f>
        <v>444.00000000139698</v>
      </c>
      <c r="U88" s="62">
        <f t="shared" ref="U88:U96" si="101">1440*O88</f>
        <v>79.999999998835847</v>
      </c>
      <c r="V88" s="62">
        <f t="shared" ref="V88:V96" si="102">1440*P88</f>
        <v>596.99999999720603</v>
      </c>
    </row>
    <row r="89" spans="1:29">
      <c r="A89" s="92" t="s">
        <v>25</v>
      </c>
      <c r="B89" s="20" t="s">
        <v>361</v>
      </c>
      <c r="C89" s="80">
        <v>46099</v>
      </c>
      <c r="D89" s="18">
        <v>0.49930555555555556</v>
      </c>
      <c r="E89" s="80">
        <v>46099</v>
      </c>
      <c r="F89" s="18">
        <v>0.61319444444444449</v>
      </c>
      <c r="G89" s="80">
        <v>46099</v>
      </c>
      <c r="H89" s="18">
        <v>0.97916666666666663</v>
      </c>
      <c r="I89" s="80">
        <v>46100</v>
      </c>
      <c r="J89" s="18">
        <v>6.9444444444444441E-3</v>
      </c>
      <c r="M89" s="67">
        <f t="shared" si="96"/>
        <v>0.11388888888905058</v>
      </c>
      <c r="N89" s="67">
        <f t="shared" si="97"/>
        <v>0.36597222222189885</v>
      </c>
      <c r="O89" s="67">
        <f t="shared" si="98"/>
        <v>2.7777777781011537E-2</v>
      </c>
      <c r="P89" s="67">
        <f>(C90+D90)-(I89+J89)</f>
        <v>0.33472222222189885</v>
      </c>
      <c r="S89" s="34">
        <f t="shared" si="99"/>
        <v>164.00000000023283</v>
      </c>
      <c r="T89" s="34">
        <f t="shared" si="100"/>
        <v>526.99999999953434</v>
      </c>
      <c r="U89" s="34">
        <f t="shared" si="101"/>
        <v>40.000000004656613</v>
      </c>
      <c r="V89" s="34">
        <f t="shared" si="102"/>
        <v>481.99999999953434</v>
      </c>
    </row>
    <row r="90" spans="1:29">
      <c r="A90" s="92" t="s">
        <v>25</v>
      </c>
      <c r="B90" s="20" t="s">
        <v>361</v>
      </c>
      <c r="C90" s="80">
        <v>46100</v>
      </c>
      <c r="D90" s="18">
        <v>0.34166666666666667</v>
      </c>
      <c r="E90" s="80">
        <v>46100</v>
      </c>
      <c r="F90" s="18">
        <v>0.46666666666666667</v>
      </c>
      <c r="G90" s="80">
        <v>46100</v>
      </c>
      <c r="H90" s="18">
        <v>0.97847222222222219</v>
      </c>
      <c r="I90" s="80">
        <v>46101</v>
      </c>
      <c r="J90" s="18">
        <v>1.3888888888888888E-2</v>
      </c>
      <c r="M90" s="103">
        <f t="shared" si="96"/>
        <v>0.125</v>
      </c>
      <c r="N90" s="103">
        <f t="shared" si="97"/>
        <v>0.5118055555576575</v>
      </c>
      <c r="O90" s="103">
        <f t="shared" si="98"/>
        <v>3.5416666665696539E-2</v>
      </c>
      <c r="P90" s="103">
        <f t="shared" ref="P90:P96" si="103">(C91+D91)-(I90+J90)</f>
        <v>0.15416666666715173</v>
      </c>
      <c r="S90" s="62">
        <f t="shared" si="99"/>
        <v>180</v>
      </c>
      <c r="T90" s="62">
        <f t="shared" si="100"/>
        <v>737.0000000030268</v>
      </c>
      <c r="U90" s="62">
        <f t="shared" si="101"/>
        <v>50.999999998603016</v>
      </c>
      <c r="V90" s="62">
        <f t="shared" si="102"/>
        <v>222.00000000069849</v>
      </c>
    </row>
    <row r="91" spans="1:29">
      <c r="A91" s="92" t="s">
        <v>25</v>
      </c>
      <c r="B91" s="20" t="s">
        <v>361</v>
      </c>
      <c r="C91" s="80">
        <v>46101</v>
      </c>
      <c r="D91" s="18">
        <v>0.16805555555555557</v>
      </c>
      <c r="E91" s="80">
        <v>46101</v>
      </c>
      <c r="F91" s="18">
        <v>0.30138888888888887</v>
      </c>
      <c r="G91" s="80">
        <v>46101</v>
      </c>
      <c r="H91" s="18">
        <v>0.85902777777777772</v>
      </c>
      <c r="I91" s="80">
        <v>46101</v>
      </c>
      <c r="J91" s="18">
        <v>0.89583333333333337</v>
      </c>
      <c r="M91" s="67">
        <f t="shared" si="96"/>
        <v>0.13333333333139308</v>
      </c>
      <c r="N91" s="67">
        <f t="shared" si="97"/>
        <v>0.55763888888759539</v>
      </c>
      <c r="O91" s="67">
        <f t="shared" si="98"/>
        <v>3.680555555911269E-2</v>
      </c>
      <c r="P91" s="67">
        <f t="shared" si="103"/>
        <v>0.10555555555038154</v>
      </c>
      <c r="S91" s="62">
        <f t="shared" si="99"/>
        <v>191.99999999720603</v>
      </c>
      <c r="T91" s="62">
        <f t="shared" si="100"/>
        <v>802.99999999813735</v>
      </c>
      <c r="U91" s="62">
        <f t="shared" si="101"/>
        <v>53.000000005122274</v>
      </c>
      <c r="V91" s="62">
        <f t="shared" si="102"/>
        <v>151.99999999254942</v>
      </c>
    </row>
    <row r="92" spans="1:29">
      <c r="A92" s="92" t="s">
        <v>25</v>
      </c>
      <c r="B92" s="20" t="s">
        <v>361</v>
      </c>
      <c r="C92" s="80">
        <v>46102</v>
      </c>
      <c r="D92" s="18">
        <v>1.3888888888888889E-3</v>
      </c>
      <c r="E92" s="80">
        <v>46102</v>
      </c>
      <c r="F92" s="18">
        <v>0.10069444444444445</v>
      </c>
      <c r="G92" s="80">
        <v>46102</v>
      </c>
      <c r="H92" s="18">
        <v>0.75</v>
      </c>
      <c r="I92" s="80">
        <v>46102</v>
      </c>
      <c r="J92" s="18">
        <v>0.78194444444444444</v>
      </c>
      <c r="M92" s="103">
        <f t="shared" si="96"/>
        <v>9.930555555911269E-2</v>
      </c>
      <c r="N92" s="103">
        <f t="shared" si="97"/>
        <v>0.64930555555474712</v>
      </c>
      <c r="O92" s="103">
        <f t="shared" si="98"/>
        <v>3.1944444446708076E-2</v>
      </c>
      <c r="P92" s="103">
        <f t="shared" si="103"/>
        <v>7.2222222217533272E-2</v>
      </c>
      <c r="S92" s="34">
        <f t="shared" si="99"/>
        <v>143.00000000512227</v>
      </c>
      <c r="T92" s="34">
        <f t="shared" si="100"/>
        <v>934.99999999883585</v>
      </c>
      <c r="U92" s="34">
        <f t="shared" si="101"/>
        <v>46.000000003259629</v>
      </c>
      <c r="V92" s="34">
        <f t="shared" si="102"/>
        <v>103.99999999324791</v>
      </c>
    </row>
    <row r="93" spans="1:29" ht="15.75" thickBot="1">
      <c r="A93" s="102" t="s">
        <v>25</v>
      </c>
      <c r="B93" s="51" t="s">
        <v>361</v>
      </c>
      <c r="C93" s="45">
        <v>46102</v>
      </c>
      <c r="D93" s="46">
        <v>0.85416666666666663</v>
      </c>
      <c r="E93" s="45">
        <v>46102</v>
      </c>
      <c r="F93" s="46">
        <v>0.98958333333333337</v>
      </c>
      <c r="G93" s="45">
        <v>46103</v>
      </c>
      <c r="H93" s="46">
        <v>0.53472222222222221</v>
      </c>
      <c r="I93" s="45">
        <v>46103</v>
      </c>
      <c r="J93" s="46">
        <v>0.56874999999999998</v>
      </c>
      <c r="M93" s="41">
        <f t="shared" si="96"/>
        <v>0.13541666667151731</v>
      </c>
      <c r="N93" s="41">
        <f t="shared" si="97"/>
        <v>0.54513888888322981</v>
      </c>
      <c r="O93" s="41">
        <f t="shared" si="98"/>
        <v>3.4027777779556345E-2</v>
      </c>
      <c r="P93" s="41">
        <f t="shared" si="103"/>
        <v>1.2048611111094942</v>
      </c>
      <c r="S93" s="90">
        <f t="shared" si="99"/>
        <v>195.00000000698492</v>
      </c>
      <c r="T93" s="90">
        <f t="shared" si="100"/>
        <v>784.99999999185093</v>
      </c>
      <c r="U93" s="90">
        <f t="shared" si="101"/>
        <v>49.000000002561137</v>
      </c>
      <c r="V93" s="90">
        <f t="shared" si="102"/>
        <v>1734.9999999976717</v>
      </c>
    </row>
    <row r="94" spans="1:29" ht="15.75" thickBot="1">
      <c r="A94" s="101" t="s">
        <v>26</v>
      </c>
      <c r="B94" s="59" t="s">
        <v>378</v>
      </c>
      <c r="C94" s="80">
        <v>46104</v>
      </c>
      <c r="D94" s="18">
        <v>0.77361111111111114</v>
      </c>
      <c r="E94" s="80">
        <v>46104</v>
      </c>
      <c r="F94" s="18">
        <v>0.86250000000000004</v>
      </c>
      <c r="G94" s="80">
        <v>46105</v>
      </c>
      <c r="H94" s="18">
        <v>0.34305555555555556</v>
      </c>
      <c r="I94" s="80">
        <v>46105</v>
      </c>
      <c r="J94" s="18">
        <v>0.37708333333333333</v>
      </c>
      <c r="M94" s="67">
        <f t="shared" si="96"/>
        <v>8.8888888894871343E-2</v>
      </c>
      <c r="N94" s="67">
        <f t="shared" si="97"/>
        <v>0.48055555555038154</v>
      </c>
      <c r="O94" s="67">
        <f t="shared" si="98"/>
        <v>3.4027777779556345E-2</v>
      </c>
      <c r="P94" s="67">
        <f t="shared" si="103"/>
        <v>9.1666666667151731E-2</v>
      </c>
      <c r="S94" s="62">
        <f t="shared" si="99"/>
        <v>128.00000000861473</v>
      </c>
      <c r="T94" s="62">
        <f t="shared" si="100"/>
        <v>691.99999999254942</v>
      </c>
      <c r="U94" s="62">
        <f t="shared" si="101"/>
        <v>49.000000002561137</v>
      </c>
      <c r="V94" s="62">
        <f t="shared" si="102"/>
        <v>132.00000000069849</v>
      </c>
      <c r="X94" s="61" t="s">
        <v>86</v>
      </c>
      <c r="Y94" s="61">
        <v>11000</v>
      </c>
      <c r="Z94" s="63">
        <f>SUM(S94:S102)</f>
        <v>1444.0000000235159</v>
      </c>
      <c r="AA94" s="63">
        <f>SUM(T94:T102)</f>
        <v>5092.9999999841675</v>
      </c>
      <c r="AB94" s="63">
        <f>SUM(U94:U102)</f>
        <v>441.00000001257285</v>
      </c>
      <c r="AC94" s="63">
        <f>SUM(V94:V102)</f>
        <v>1722.9999999795109</v>
      </c>
    </row>
    <row r="95" spans="1:29" ht="15.75" thickBot="1">
      <c r="A95" s="92" t="s">
        <v>26</v>
      </c>
      <c r="B95" s="59" t="s">
        <v>378</v>
      </c>
      <c r="C95" s="80">
        <v>46105</v>
      </c>
      <c r="D95" s="18">
        <v>0.46875</v>
      </c>
      <c r="E95" s="80">
        <v>46105</v>
      </c>
      <c r="F95" s="18">
        <v>0.59305555555555556</v>
      </c>
      <c r="G95" s="80">
        <v>46105</v>
      </c>
      <c r="H95" s="18">
        <v>0.83888888888888891</v>
      </c>
      <c r="I95" s="80">
        <v>46105</v>
      </c>
      <c r="J95" s="18">
        <v>0.87708333333333333</v>
      </c>
      <c r="M95" s="67">
        <f t="shared" si="96"/>
        <v>0.12430555555329192</v>
      </c>
      <c r="N95" s="67">
        <f t="shared" si="97"/>
        <v>0.24583333333430346</v>
      </c>
      <c r="O95" s="67">
        <f t="shared" si="98"/>
        <v>3.8194444445252884E-2</v>
      </c>
      <c r="P95" s="67">
        <f t="shared" si="103"/>
        <v>6.7361111112404615E-2</v>
      </c>
      <c r="S95" s="34">
        <f t="shared" si="99"/>
        <v>178.99999999674037</v>
      </c>
      <c r="T95" s="34">
        <f t="shared" si="100"/>
        <v>354.00000000139698</v>
      </c>
      <c r="U95" s="34">
        <f t="shared" si="101"/>
        <v>55.000000001164153</v>
      </c>
      <c r="V95" s="34">
        <f t="shared" si="102"/>
        <v>97.000000001862645</v>
      </c>
      <c r="Z95" s="65">
        <f>(Z94/Y94)*100</f>
        <v>13.127272727486508</v>
      </c>
      <c r="AA95" s="68">
        <f>(AA94/Y94)*100</f>
        <v>46.29999999985607</v>
      </c>
      <c r="AB95" s="65">
        <f>(AB94/Y94)*100</f>
        <v>4.0090909092052076</v>
      </c>
      <c r="AC95" s="66">
        <f>(AC94/Y94)*100</f>
        <v>15.663636363450099</v>
      </c>
    </row>
    <row r="96" spans="1:29">
      <c r="A96" s="92" t="s">
        <v>26</v>
      </c>
      <c r="B96" s="59" t="s">
        <v>378</v>
      </c>
      <c r="C96" s="80">
        <v>46105</v>
      </c>
      <c r="D96" s="18">
        <v>0.94444444444444442</v>
      </c>
      <c r="E96" s="80">
        <v>46106</v>
      </c>
      <c r="F96" s="18">
        <v>9.930555555555555E-2</v>
      </c>
      <c r="G96" s="80">
        <v>46106</v>
      </c>
      <c r="H96" s="18">
        <v>0.57291666666666663</v>
      </c>
      <c r="I96" s="80">
        <v>46106</v>
      </c>
      <c r="J96" s="18">
        <v>0.61458333333333337</v>
      </c>
      <c r="M96" s="103">
        <f t="shared" si="96"/>
        <v>0.15486111111385981</v>
      </c>
      <c r="N96" s="103">
        <f t="shared" si="97"/>
        <v>0.47361111110512866</v>
      </c>
      <c r="O96" s="103">
        <f t="shared" si="98"/>
        <v>4.1666666671517305E-2</v>
      </c>
      <c r="P96" s="103">
        <f t="shared" si="103"/>
        <v>5.9722222220443655E-2</v>
      </c>
      <c r="S96" s="62">
        <f t="shared" si="99"/>
        <v>223.00000000395812</v>
      </c>
      <c r="T96" s="62">
        <f t="shared" si="100"/>
        <v>681.99999999138527</v>
      </c>
      <c r="U96" s="62">
        <f t="shared" si="101"/>
        <v>60.000000006984919</v>
      </c>
      <c r="V96" s="62">
        <f t="shared" si="102"/>
        <v>85.999999997438863</v>
      </c>
    </row>
    <row r="97" spans="1:29">
      <c r="A97" s="92" t="s">
        <v>26</v>
      </c>
      <c r="B97" s="59" t="s">
        <v>378</v>
      </c>
      <c r="C97" s="80">
        <v>46106</v>
      </c>
      <c r="D97" s="18">
        <v>0.6743055555555556</v>
      </c>
      <c r="E97" s="80">
        <v>46106</v>
      </c>
      <c r="F97" s="18">
        <v>0.78749999999999998</v>
      </c>
      <c r="G97" s="80">
        <v>46106</v>
      </c>
      <c r="H97" s="18">
        <v>0.91736111111111107</v>
      </c>
      <c r="I97" s="80">
        <v>46106</v>
      </c>
      <c r="J97" s="18">
        <v>0.93958333333333333</v>
      </c>
      <c r="M97" s="103">
        <f t="shared" ref="M97:M100" si="104">(E97+F97)-(C97+D97)</f>
        <v>0.1131944444423425</v>
      </c>
      <c r="N97" s="103">
        <f t="shared" ref="N97:N100" si="105">(G97+H97)-(E97+F97)</f>
        <v>0.12986111111240461</v>
      </c>
      <c r="O97" s="103">
        <f t="shared" ref="O97:O100" si="106">(I97+J97)-(G97+H97)</f>
        <v>2.2222222221898846E-2</v>
      </c>
      <c r="P97" s="103">
        <f t="shared" ref="P97:P100" si="107">(C98+D98)-(I97+J97)</f>
        <v>5.0694444442342501E-2</v>
      </c>
      <c r="S97" s="34">
        <f t="shared" ref="S97:S100" si="108">1440*M97</f>
        <v>162.9999999969732</v>
      </c>
      <c r="T97" s="34">
        <f t="shared" ref="T97:T100" si="109">1440*N97</f>
        <v>187.00000000186265</v>
      </c>
      <c r="U97" s="34">
        <f t="shared" ref="U97:U100" si="110">1440*O97</f>
        <v>31.999999999534339</v>
      </c>
      <c r="V97" s="34">
        <f t="shared" ref="V97:V100" si="111">1440*P97</f>
        <v>72.999999996973202</v>
      </c>
    </row>
    <row r="98" spans="1:29">
      <c r="A98" s="92" t="s">
        <v>26</v>
      </c>
      <c r="B98" s="59" t="s">
        <v>378</v>
      </c>
      <c r="C98" s="80">
        <v>46106</v>
      </c>
      <c r="D98" s="18">
        <v>0.99027777777777781</v>
      </c>
      <c r="E98" s="80">
        <v>46107</v>
      </c>
      <c r="F98" s="18">
        <v>7.6388888888888895E-2</v>
      </c>
      <c r="G98" s="80">
        <v>46107</v>
      </c>
      <c r="H98" s="18">
        <v>0.31736111111111109</v>
      </c>
      <c r="I98" s="80">
        <v>46107</v>
      </c>
      <c r="J98" s="18">
        <v>0.35138888888888886</v>
      </c>
      <c r="M98" s="67">
        <f t="shared" si="104"/>
        <v>8.6111111115314998E-2</v>
      </c>
      <c r="N98" s="67">
        <f t="shared" si="105"/>
        <v>0.24097222222189885</v>
      </c>
      <c r="O98" s="67">
        <f t="shared" si="106"/>
        <v>3.4027777779556345E-2</v>
      </c>
      <c r="P98" s="67">
        <f t="shared" si="107"/>
        <v>0.538888888884685</v>
      </c>
      <c r="S98" s="62">
        <f t="shared" si="108"/>
        <v>124.0000000060536</v>
      </c>
      <c r="T98" s="62">
        <f t="shared" si="109"/>
        <v>346.99999999953434</v>
      </c>
      <c r="U98" s="62">
        <f t="shared" si="110"/>
        <v>49.000000002561137</v>
      </c>
      <c r="V98" s="62">
        <f t="shared" si="111"/>
        <v>775.9999999939464</v>
      </c>
    </row>
    <row r="99" spans="1:29">
      <c r="A99" s="92" t="s">
        <v>26</v>
      </c>
      <c r="B99" s="59" t="s">
        <v>378</v>
      </c>
      <c r="C99" s="80">
        <v>46107</v>
      </c>
      <c r="D99" s="18">
        <v>0.89027777777777772</v>
      </c>
      <c r="E99" s="80">
        <v>46107</v>
      </c>
      <c r="F99" s="18">
        <v>0.99652777777777779</v>
      </c>
      <c r="G99" s="80">
        <v>46108</v>
      </c>
      <c r="H99" s="18">
        <v>0.24166666666666667</v>
      </c>
      <c r="I99" s="80">
        <v>46108</v>
      </c>
      <c r="J99" s="18">
        <v>0.27986111111111112</v>
      </c>
      <c r="M99" s="103">
        <f t="shared" si="104"/>
        <v>0.10625000000436557</v>
      </c>
      <c r="N99" s="103">
        <f t="shared" si="105"/>
        <v>0.24513888888759539</v>
      </c>
      <c r="O99" s="103">
        <f t="shared" si="106"/>
        <v>3.8194444445252884E-2</v>
      </c>
      <c r="P99" s="103">
        <f t="shared" si="107"/>
        <v>0.12708333333284827</v>
      </c>
      <c r="S99" s="34">
        <f t="shared" si="108"/>
        <v>153.00000000628643</v>
      </c>
      <c r="T99" s="34">
        <f t="shared" si="109"/>
        <v>352.99999999813735</v>
      </c>
      <c r="U99" s="34">
        <f t="shared" si="110"/>
        <v>55.000000001164153</v>
      </c>
      <c r="V99" s="34">
        <f t="shared" si="111"/>
        <v>182.99999999930151</v>
      </c>
    </row>
    <row r="100" spans="1:29">
      <c r="A100" s="92" t="s">
        <v>26</v>
      </c>
      <c r="B100" s="59" t="s">
        <v>378</v>
      </c>
      <c r="C100" s="80">
        <v>46108</v>
      </c>
      <c r="D100" s="18">
        <v>0.40694444444444444</v>
      </c>
      <c r="E100" s="80">
        <v>46108</v>
      </c>
      <c r="F100" s="18">
        <v>0.52430555555555558</v>
      </c>
      <c r="G100" s="80">
        <v>46109</v>
      </c>
      <c r="H100" s="18">
        <v>0.14097222222222222</v>
      </c>
      <c r="I100" s="80">
        <v>46109</v>
      </c>
      <c r="J100" s="18">
        <v>0.16666666666666666</v>
      </c>
      <c r="M100" s="103">
        <f t="shared" si="104"/>
        <v>0.11736111110803904</v>
      </c>
      <c r="N100" s="103">
        <f t="shared" si="105"/>
        <v>0.61666666666860692</v>
      </c>
      <c r="O100" s="103">
        <f t="shared" si="106"/>
        <v>2.569444444088731E-2</v>
      </c>
      <c r="P100" s="103">
        <f t="shared" si="107"/>
        <v>0.15000000000145519</v>
      </c>
      <c r="S100" s="62">
        <f t="shared" si="108"/>
        <v>168.99999999557622</v>
      </c>
      <c r="T100" s="62">
        <f t="shared" si="109"/>
        <v>888.00000000279397</v>
      </c>
      <c r="U100" s="62">
        <f t="shared" si="110"/>
        <v>36.999999994877726</v>
      </c>
      <c r="V100" s="62">
        <f t="shared" si="111"/>
        <v>216.00000000209548</v>
      </c>
    </row>
    <row r="101" spans="1:29">
      <c r="A101" s="92" t="s">
        <v>26</v>
      </c>
      <c r="B101" s="59" t="s">
        <v>378</v>
      </c>
      <c r="C101" s="80">
        <v>46109</v>
      </c>
      <c r="D101" s="18">
        <v>0.31666666666666665</v>
      </c>
      <c r="E101" s="80">
        <v>46109</v>
      </c>
      <c r="F101" s="18">
        <v>0.42430555555555555</v>
      </c>
      <c r="G101" s="80">
        <v>46110</v>
      </c>
      <c r="H101" s="18">
        <v>7.6388888888888886E-3</v>
      </c>
      <c r="I101" s="80">
        <v>46110</v>
      </c>
      <c r="J101" s="18">
        <v>3.888888888888889E-2</v>
      </c>
      <c r="M101" s="103">
        <f t="shared" ref="M101:M107" si="112">(E101+F101)-(C101+D101)</f>
        <v>0.10763888889050577</v>
      </c>
      <c r="N101" s="103">
        <f t="shared" ref="N101:N107" si="113">(G101+H101)-(E101+F101)</f>
        <v>0.58333333333575865</v>
      </c>
      <c r="O101" s="103">
        <f t="shared" ref="O101:O107" si="114">(I101+J101)-(G101+H101)</f>
        <v>3.125E-2</v>
      </c>
      <c r="P101" s="103">
        <f t="shared" ref="P101:P120" si="115">(C102+D102)-(I101+J101)</f>
        <v>6.3194444439432118E-2</v>
      </c>
      <c r="S101" s="62">
        <f t="shared" ref="S101:S107" si="116">1440*M101</f>
        <v>155.00000000232831</v>
      </c>
      <c r="T101" s="62">
        <f t="shared" ref="T101:T107" si="117">1440*N101</f>
        <v>840.00000000349246</v>
      </c>
      <c r="U101" s="62">
        <f t="shared" ref="U101:U107" si="118">1440*O101</f>
        <v>45</v>
      </c>
      <c r="V101" s="62">
        <f t="shared" ref="V101:V107" si="119">1440*P101</f>
        <v>90.99999999278225</v>
      </c>
    </row>
    <row r="102" spans="1:29" ht="15.75" thickBot="1">
      <c r="A102" s="102" t="s">
        <v>26</v>
      </c>
      <c r="B102" s="51" t="s">
        <v>378</v>
      </c>
      <c r="C102" s="45">
        <v>46110</v>
      </c>
      <c r="D102" s="46">
        <v>0.10208333333333333</v>
      </c>
      <c r="E102" s="45">
        <v>46110</v>
      </c>
      <c r="F102" s="46">
        <v>0.20624999999999999</v>
      </c>
      <c r="G102" s="45">
        <v>46110</v>
      </c>
      <c r="H102" s="46">
        <v>0.7270833333333333</v>
      </c>
      <c r="I102" s="45">
        <v>46110</v>
      </c>
      <c r="J102" s="46">
        <v>0.7680555555555556</v>
      </c>
      <c r="M102" s="41">
        <f t="shared" si="112"/>
        <v>0.10416666667151731</v>
      </c>
      <c r="N102" s="41">
        <f t="shared" si="113"/>
        <v>0.52083333332848269</v>
      </c>
      <c r="O102" s="41">
        <f t="shared" si="114"/>
        <v>4.0972222224809229E-2</v>
      </c>
      <c r="P102" s="41">
        <f t="shared" si="115"/>
        <v>4.7916666662786156E-2</v>
      </c>
      <c r="S102" s="90">
        <f t="shared" si="116"/>
        <v>150.00000000698492</v>
      </c>
      <c r="T102" s="90">
        <f t="shared" si="117"/>
        <v>749.99999999301508</v>
      </c>
      <c r="U102" s="90">
        <f t="shared" si="118"/>
        <v>59.00000000372529</v>
      </c>
      <c r="V102" s="90">
        <f t="shared" si="119"/>
        <v>68.999999994412065</v>
      </c>
    </row>
    <row r="103" spans="1:29" ht="15.75" thickBot="1">
      <c r="A103" s="101" t="s">
        <v>27</v>
      </c>
      <c r="B103" s="59" t="s">
        <v>379</v>
      </c>
      <c r="C103" s="80">
        <v>46110</v>
      </c>
      <c r="D103" s="18">
        <v>0.81597222222222221</v>
      </c>
      <c r="E103" s="80">
        <v>46110</v>
      </c>
      <c r="F103" s="18">
        <v>0.9291666666666667</v>
      </c>
      <c r="G103" s="80">
        <v>46111</v>
      </c>
      <c r="H103" s="18">
        <v>0.48888888888888887</v>
      </c>
      <c r="I103" s="80">
        <v>46111</v>
      </c>
      <c r="J103" s="18">
        <v>0.52083333333333337</v>
      </c>
      <c r="M103" s="67">
        <f t="shared" si="112"/>
        <v>0.11319444444961846</v>
      </c>
      <c r="N103" s="67">
        <f t="shared" si="113"/>
        <v>0.55972222222044365</v>
      </c>
      <c r="O103" s="67">
        <f t="shared" si="114"/>
        <v>3.1944444446708076E-2</v>
      </c>
      <c r="P103" s="67">
        <f t="shared" si="115"/>
        <v>0.18194444444088731</v>
      </c>
      <c r="S103" s="62">
        <f t="shared" si="116"/>
        <v>163.00000000745058</v>
      </c>
      <c r="T103" s="62">
        <f t="shared" si="117"/>
        <v>805.99999999743886</v>
      </c>
      <c r="U103" s="62">
        <f t="shared" si="118"/>
        <v>46.000000003259629</v>
      </c>
      <c r="V103" s="62">
        <f t="shared" si="119"/>
        <v>261.99999999487773</v>
      </c>
      <c r="X103" s="61" t="s">
        <v>86</v>
      </c>
      <c r="Y103" s="61">
        <v>11000</v>
      </c>
      <c r="Z103" s="63">
        <f>SUM(S103:S111)</f>
        <v>1438.999999986263</v>
      </c>
      <c r="AA103" s="63">
        <f>SUM(T103:T111)</f>
        <v>5610.0000000139698</v>
      </c>
      <c r="AB103" s="63">
        <f>SUM(U103:U111)</f>
        <v>393.99999998509884</v>
      </c>
      <c r="AC103" s="63">
        <f>SUM(V103:V111)</f>
        <v>3005.0000000197906</v>
      </c>
    </row>
    <row r="104" spans="1:29" ht="15.75" thickBot="1">
      <c r="A104" s="92" t="s">
        <v>27</v>
      </c>
      <c r="B104" s="20" t="s">
        <v>379</v>
      </c>
      <c r="C104" s="80">
        <v>46111</v>
      </c>
      <c r="D104" s="18">
        <v>0.70277777777777772</v>
      </c>
      <c r="E104" s="80">
        <v>46111</v>
      </c>
      <c r="F104" s="18">
        <v>0.8125</v>
      </c>
      <c r="G104" s="80">
        <v>46112</v>
      </c>
      <c r="H104" s="18">
        <v>0.4236111111111111</v>
      </c>
      <c r="I104" s="80">
        <v>46112</v>
      </c>
      <c r="J104" s="18">
        <v>0.46111111111111114</v>
      </c>
      <c r="M104" s="103">
        <f t="shared" si="112"/>
        <v>0.10972222222335404</v>
      </c>
      <c r="N104" s="103">
        <f t="shared" si="113"/>
        <v>0.61111111110949423</v>
      </c>
      <c r="O104" s="103">
        <f t="shared" si="114"/>
        <v>3.7499999998544808E-2</v>
      </c>
      <c r="P104" s="103">
        <f t="shared" si="115"/>
        <v>9.7222222226264421E-2</v>
      </c>
      <c r="S104" s="62">
        <f t="shared" si="116"/>
        <v>158.00000000162981</v>
      </c>
      <c r="T104" s="62">
        <f t="shared" si="117"/>
        <v>879.99999999767169</v>
      </c>
      <c r="U104" s="62">
        <f t="shared" si="118"/>
        <v>53.999999997904524</v>
      </c>
      <c r="V104" s="62">
        <f t="shared" si="119"/>
        <v>140.00000000582077</v>
      </c>
      <c r="Z104" s="65">
        <f>(Z103/Y103)*100</f>
        <v>13.081818181693301</v>
      </c>
      <c r="AA104" s="68">
        <f>(AA103/Y103)*100</f>
        <v>51.000000000127002</v>
      </c>
      <c r="AB104" s="65">
        <f>(AB103/Y103)*100</f>
        <v>3.5818181816827166</v>
      </c>
      <c r="AC104" s="66">
        <f>(AC103/Y103)*100</f>
        <v>27.31818181836173</v>
      </c>
    </row>
    <row r="105" spans="1:29">
      <c r="A105" s="92" t="s">
        <v>27</v>
      </c>
      <c r="B105" s="20" t="s">
        <v>379</v>
      </c>
      <c r="C105" s="80">
        <v>46112</v>
      </c>
      <c r="D105" s="18">
        <v>0.55833333333333335</v>
      </c>
      <c r="E105" s="80">
        <v>46112</v>
      </c>
      <c r="F105" s="18">
        <v>0.68055555555555558</v>
      </c>
      <c r="G105" s="80">
        <v>46113</v>
      </c>
      <c r="H105" s="18">
        <v>4.5138888888888888E-2</v>
      </c>
      <c r="I105" s="80">
        <v>46113</v>
      </c>
      <c r="J105" s="18">
        <v>7.2916666666666671E-2</v>
      </c>
      <c r="M105" s="103">
        <f t="shared" si="112"/>
        <v>0.12222222222044365</v>
      </c>
      <c r="N105" s="103">
        <f t="shared" si="113"/>
        <v>0.36458333333575865</v>
      </c>
      <c r="O105" s="103">
        <f t="shared" si="114"/>
        <v>2.7777777773735579E-2</v>
      </c>
      <c r="P105" s="103">
        <f t="shared" si="115"/>
        <v>0.50625000000582077</v>
      </c>
      <c r="S105" s="34">
        <f t="shared" si="116"/>
        <v>175.99999999743886</v>
      </c>
      <c r="T105" s="34">
        <f t="shared" si="117"/>
        <v>525.00000000349246</v>
      </c>
      <c r="U105" s="34">
        <f t="shared" si="118"/>
        <v>39.999999994179234</v>
      </c>
      <c r="V105" s="34">
        <f t="shared" si="119"/>
        <v>729.0000000083819</v>
      </c>
    </row>
    <row r="106" spans="1:29">
      <c r="A106" s="92" t="s">
        <v>27</v>
      </c>
      <c r="B106" s="20" t="s">
        <v>379</v>
      </c>
      <c r="C106" s="80">
        <v>46113</v>
      </c>
      <c r="D106" s="18">
        <v>0.57916666666666672</v>
      </c>
      <c r="E106" s="80">
        <v>46113</v>
      </c>
      <c r="F106" s="18">
        <v>0.68402777777777779</v>
      </c>
      <c r="G106" s="80">
        <v>46113</v>
      </c>
      <c r="H106" s="18">
        <v>0.9291666666666667</v>
      </c>
      <c r="I106" s="80">
        <v>46113</v>
      </c>
      <c r="J106" s="18">
        <v>0.97152777777777777</v>
      </c>
      <c r="M106" s="103">
        <f t="shared" si="112"/>
        <v>0.10486111111094942</v>
      </c>
      <c r="N106" s="103">
        <f t="shared" si="113"/>
        <v>0.24513888888759539</v>
      </c>
      <c r="O106" s="103">
        <f t="shared" si="114"/>
        <v>4.2361111110949423E-2</v>
      </c>
      <c r="P106" s="103">
        <f t="shared" si="115"/>
        <v>0.17083333332993789</v>
      </c>
      <c r="S106" s="62">
        <f t="shared" si="116"/>
        <v>150.99999999976717</v>
      </c>
      <c r="T106" s="62">
        <f t="shared" si="117"/>
        <v>352.99999999813735</v>
      </c>
      <c r="U106" s="62">
        <f t="shared" si="118"/>
        <v>60.999999999767169</v>
      </c>
      <c r="V106" s="62">
        <f t="shared" si="119"/>
        <v>245.99999999511056</v>
      </c>
    </row>
    <row r="107" spans="1:29">
      <c r="A107" s="92" t="s">
        <v>27</v>
      </c>
      <c r="B107" s="20" t="s">
        <v>379</v>
      </c>
      <c r="C107" s="80">
        <v>46114</v>
      </c>
      <c r="D107" s="18">
        <v>0.1423611111111111</v>
      </c>
      <c r="E107" s="80">
        <v>46114</v>
      </c>
      <c r="F107" s="18">
        <v>0.26041666666666669</v>
      </c>
      <c r="G107" s="80">
        <v>46114</v>
      </c>
      <c r="H107" s="18">
        <v>0.35069444444444442</v>
      </c>
      <c r="I107" s="80">
        <v>46114</v>
      </c>
      <c r="J107" s="18">
        <v>0.3611111111111111</v>
      </c>
      <c r="M107" s="103">
        <f t="shared" si="112"/>
        <v>0.11805555555474712</v>
      </c>
      <c r="N107" s="103">
        <f t="shared" si="113"/>
        <v>9.0277777781011537E-2</v>
      </c>
      <c r="O107" s="103">
        <f t="shared" si="114"/>
        <v>1.0416666664241347E-2</v>
      </c>
      <c r="P107" s="103">
        <f t="shared" si="115"/>
        <v>0.37777777777955635</v>
      </c>
      <c r="S107" s="62">
        <f t="shared" si="116"/>
        <v>169.99999999883585</v>
      </c>
      <c r="T107" s="62">
        <f t="shared" si="117"/>
        <v>130.00000000465661</v>
      </c>
      <c r="U107" s="62">
        <f t="shared" si="118"/>
        <v>14.99999999650754</v>
      </c>
      <c r="V107" s="62">
        <f t="shared" si="119"/>
        <v>544.00000000256114</v>
      </c>
    </row>
    <row r="108" spans="1:29">
      <c r="A108" s="92" t="s">
        <v>27</v>
      </c>
      <c r="B108" s="20" t="s">
        <v>379</v>
      </c>
      <c r="C108" s="80">
        <v>46114</v>
      </c>
      <c r="D108" s="18">
        <v>0.73888888888888893</v>
      </c>
      <c r="E108" s="80">
        <v>46114</v>
      </c>
      <c r="F108" s="18">
        <v>0.83888888888888891</v>
      </c>
      <c r="G108" s="80">
        <v>46115</v>
      </c>
      <c r="H108" s="18">
        <v>0.40416666666666667</v>
      </c>
      <c r="I108" s="80">
        <v>46115</v>
      </c>
      <c r="J108" s="18">
        <v>0.4375</v>
      </c>
      <c r="M108" s="103">
        <f t="shared" ref="M108:M120" si="120">(E108+F108)-(C108+D108)</f>
        <v>9.9999999998544808E-2</v>
      </c>
      <c r="N108" s="103">
        <f t="shared" ref="N108:N120" si="121">(G108+H108)-(E108+F108)</f>
        <v>0.56527777777955635</v>
      </c>
      <c r="O108" s="103">
        <f t="shared" ref="O108:O120" si="122">(I108+J108)-(G108+H108)</f>
        <v>3.3333333332848269E-2</v>
      </c>
      <c r="P108" s="103">
        <f t="shared" si="115"/>
        <v>0.12569444444670808</v>
      </c>
      <c r="S108" s="34">
        <f t="shared" ref="S108:S120" si="123">1440*M108</f>
        <v>143.99999999790452</v>
      </c>
      <c r="T108" s="34">
        <f t="shared" ref="T108:T120" si="124">1440*N108</f>
        <v>814.00000000256114</v>
      </c>
      <c r="U108" s="34">
        <f t="shared" ref="U108:U120" si="125">1440*O108</f>
        <v>47.999999999301508</v>
      </c>
      <c r="V108" s="34">
        <f t="shared" ref="V108:V120" si="126">1440*P108</f>
        <v>181.00000000325963</v>
      </c>
    </row>
    <row r="109" spans="1:29">
      <c r="A109" s="92" t="s">
        <v>27</v>
      </c>
      <c r="B109" s="20" t="s">
        <v>379</v>
      </c>
      <c r="C109" s="80">
        <v>46115</v>
      </c>
      <c r="D109" s="18">
        <v>0.56319444444444444</v>
      </c>
      <c r="E109" s="80">
        <v>46115</v>
      </c>
      <c r="F109" s="18">
        <v>0.66666666666666663</v>
      </c>
      <c r="G109" s="80">
        <v>46116</v>
      </c>
      <c r="H109" s="18">
        <v>7.3611111111111113E-2</v>
      </c>
      <c r="I109" s="80">
        <v>46116</v>
      </c>
      <c r="J109" s="18">
        <v>0.1076388888888889</v>
      </c>
      <c r="M109" s="103">
        <f t="shared" si="120"/>
        <v>0.10347222221753327</v>
      </c>
      <c r="N109" s="103">
        <f t="shared" si="121"/>
        <v>0.40694444444670808</v>
      </c>
      <c r="O109" s="103">
        <f t="shared" si="122"/>
        <v>3.4027777779556345E-2</v>
      </c>
      <c r="P109" s="103">
        <f t="shared" si="115"/>
        <v>0.11111111110949423</v>
      </c>
      <c r="S109" s="62">
        <f t="shared" si="123"/>
        <v>148.99999999324791</v>
      </c>
      <c r="T109" s="62">
        <f t="shared" si="124"/>
        <v>586.00000000325963</v>
      </c>
      <c r="U109" s="62">
        <f t="shared" si="125"/>
        <v>49.000000002561137</v>
      </c>
      <c r="V109" s="62">
        <f t="shared" si="126"/>
        <v>159.99999999767169</v>
      </c>
    </row>
    <row r="110" spans="1:29">
      <c r="A110" s="92" t="s">
        <v>27</v>
      </c>
      <c r="B110" s="20" t="s">
        <v>379</v>
      </c>
      <c r="C110" s="21">
        <v>46116</v>
      </c>
      <c r="D110" s="18">
        <v>0.21875</v>
      </c>
      <c r="E110" s="21">
        <v>46116</v>
      </c>
      <c r="F110" s="18">
        <v>0.34305555555555556</v>
      </c>
      <c r="G110" s="80">
        <v>46116</v>
      </c>
      <c r="H110" s="18">
        <v>0.96805555555555556</v>
      </c>
      <c r="I110" s="80">
        <v>46117</v>
      </c>
      <c r="J110" s="18">
        <v>6.2500000000000003E-3</v>
      </c>
      <c r="M110" s="103">
        <f t="shared" si="120"/>
        <v>0.12430555555329192</v>
      </c>
      <c r="N110" s="103">
        <f t="shared" si="121"/>
        <v>0.625</v>
      </c>
      <c r="O110" s="103">
        <f t="shared" si="122"/>
        <v>3.8194444445252884E-2</v>
      </c>
      <c r="P110" s="103">
        <f t="shared" si="115"/>
        <v>0.26041666667151731</v>
      </c>
      <c r="S110" s="62">
        <f t="shared" si="123"/>
        <v>178.99999999674037</v>
      </c>
      <c r="T110" s="62">
        <f t="shared" si="124"/>
        <v>900</v>
      </c>
      <c r="U110" s="62">
        <f t="shared" si="125"/>
        <v>55.000000001164153</v>
      </c>
      <c r="V110" s="62">
        <f t="shared" si="126"/>
        <v>375.00000000698492</v>
      </c>
    </row>
    <row r="111" spans="1:29" ht="15.75" thickBot="1">
      <c r="A111" s="102" t="s">
        <v>27</v>
      </c>
      <c r="B111" s="51" t="s">
        <v>379</v>
      </c>
      <c r="C111" s="45">
        <v>46117</v>
      </c>
      <c r="D111" s="46">
        <v>0.26666666666666666</v>
      </c>
      <c r="E111" s="45">
        <v>46117</v>
      </c>
      <c r="F111" s="46">
        <v>0.37013888888888891</v>
      </c>
      <c r="G111" s="45">
        <v>46117</v>
      </c>
      <c r="H111" s="46">
        <v>0.79791666666666672</v>
      </c>
      <c r="I111" s="45">
        <v>46117</v>
      </c>
      <c r="J111" s="46">
        <v>0.81597222222222221</v>
      </c>
      <c r="M111" s="41">
        <f t="shared" si="120"/>
        <v>0.10347222221753327</v>
      </c>
      <c r="N111" s="41">
        <f t="shared" si="121"/>
        <v>0.42777777778246673</v>
      </c>
      <c r="O111" s="41">
        <f t="shared" si="122"/>
        <v>1.805555554892635E-2</v>
      </c>
      <c r="P111" s="41">
        <f t="shared" si="115"/>
        <v>0.25555555555911269</v>
      </c>
      <c r="S111" s="90">
        <f t="shared" si="123"/>
        <v>148.99999999324791</v>
      </c>
      <c r="T111" s="90">
        <f t="shared" si="124"/>
        <v>616.00000000675209</v>
      </c>
      <c r="U111" s="90">
        <f t="shared" si="125"/>
        <v>25.999999990453944</v>
      </c>
      <c r="V111" s="90">
        <f t="shared" si="126"/>
        <v>368.00000000512227</v>
      </c>
    </row>
    <row r="112" spans="1:29" ht="15.75" thickBot="1">
      <c r="A112" s="101" t="s">
        <v>28</v>
      </c>
      <c r="B112" s="59" t="s">
        <v>416</v>
      </c>
      <c r="C112" s="80">
        <v>46118</v>
      </c>
      <c r="D112" s="74">
        <v>7.1527777777777773E-2</v>
      </c>
      <c r="E112" s="80">
        <v>46118</v>
      </c>
      <c r="F112" s="74">
        <v>0.14722222222222223</v>
      </c>
      <c r="G112" s="80">
        <v>46118</v>
      </c>
      <c r="H112" s="74">
        <v>0.35694444444444445</v>
      </c>
      <c r="I112" s="80">
        <v>46118</v>
      </c>
      <c r="J112" s="74">
        <v>0.36805555555555558</v>
      </c>
      <c r="M112" s="67">
        <f>(E112+F112)-(C112+D112)</f>
        <v>7.5694444443797693E-2</v>
      </c>
      <c r="N112" s="67">
        <f>(G112+H112)-(E112+F112)</f>
        <v>0.20972222222189885</v>
      </c>
      <c r="O112" s="67">
        <f>(I112+J112)-(G112+H112)</f>
        <v>1.1111111110949423E-2</v>
      </c>
      <c r="P112" s="67">
        <f t="shared" si="115"/>
        <v>0.61250000000291038</v>
      </c>
      <c r="S112" s="62">
        <f t="shared" si="123"/>
        <v>108.99999999906868</v>
      </c>
      <c r="T112" s="62">
        <f t="shared" si="124"/>
        <v>301.99999999953434</v>
      </c>
      <c r="U112" s="62">
        <f t="shared" si="125"/>
        <v>15.999999999767169</v>
      </c>
      <c r="V112" s="62">
        <f t="shared" si="126"/>
        <v>882.00000000419095</v>
      </c>
      <c r="X112" s="61" t="s">
        <v>86</v>
      </c>
      <c r="Y112" s="61">
        <v>11000</v>
      </c>
      <c r="Z112" s="63">
        <f>SUM(S112:S118)</f>
        <v>2588.9999999839347</v>
      </c>
      <c r="AA112" s="63">
        <f>SUM(T112:T118)</f>
        <v>3113.9999999874271</v>
      </c>
      <c r="AB112" s="63">
        <f>SUM(U112:U118)</f>
        <v>295.00000001862645</v>
      </c>
      <c r="AC112" s="63">
        <f>SUM(V112:V118)</f>
        <v>3693.0000000097789</v>
      </c>
    </row>
    <row r="113" spans="1:29" ht="15.75" thickBot="1">
      <c r="A113" s="92" t="s">
        <v>28</v>
      </c>
      <c r="B113" s="20" t="s">
        <v>416</v>
      </c>
      <c r="C113" s="80">
        <v>46118</v>
      </c>
      <c r="D113" s="18">
        <v>0.98055555555555551</v>
      </c>
      <c r="E113" s="80">
        <v>46119</v>
      </c>
      <c r="F113" s="18">
        <v>8.611111111111111E-2</v>
      </c>
      <c r="G113" s="80">
        <v>46119</v>
      </c>
      <c r="H113" s="18">
        <v>0.53749999999999998</v>
      </c>
      <c r="I113" s="80">
        <v>46119</v>
      </c>
      <c r="J113" s="18">
        <v>0.57361111111111107</v>
      </c>
      <c r="M113" s="103">
        <f t="shared" si="120"/>
        <v>0.10555555555038154</v>
      </c>
      <c r="N113" s="103">
        <f t="shared" si="121"/>
        <v>0.45138888889050577</v>
      </c>
      <c r="O113" s="103">
        <f t="shared" si="122"/>
        <v>3.6111111112404615E-2</v>
      </c>
      <c r="P113" s="103">
        <f t="shared" si="115"/>
        <v>0.74930555555329192</v>
      </c>
      <c r="S113" s="62">
        <f t="shared" si="123"/>
        <v>151.99999999254942</v>
      </c>
      <c r="T113" s="62">
        <f t="shared" si="124"/>
        <v>650.00000000232831</v>
      </c>
      <c r="U113" s="62">
        <f t="shared" si="125"/>
        <v>52.000000001862645</v>
      </c>
      <c r="V113" s="62">
        <f t="shared" si="126"/>
        <v>1078.9999999967404</v>
      </c>
      <c r="Z113" s="65">
        <f>(Z112/Y112)*100</f>
        <v>23.53636363621759</v>
      </c>
      <c r="AA113" s="68">
        <f>(AA112/Y112)*100</f>
        <v>28.309090908976607</v>
      </c>
      <c r="AB113" s="65">
        <f>(AB112/Y112)*100</f>
        <v>2.6818181819875133</v>
      </c>
      <c r="AC113" s="66">
        <f>(AC112/Y112)*100</f>
        <v>33.572727272816174</v>
      </c>
    </row>
    <row r="114" spans="1:29">
      <c r="A114" s="92" t="s">
        <v>28</v>
      </c>
      <c r="B114" s="20" t="s">
        <v>416</v>
      </c>
      <c r="C114" s="80">
        <v>46120</v>
      </c>
      <c r="D114" s="18">
        <v>0.32291666666666669</v>
      </c>
      <c r="E114" s="80">
        <v>46120</v>
      </c>
      <c r="F114" s="18">
        <v>0.34791666666666665</v>
      </c>
      <c r="G114" s="80">
        <v>46120</v>
      </c>
      <c r="H114" s="18">
        <v>0.98819444444444449</v>
      </c>
      <c r="I114" s="80">
        <v>46121</v>
      </c>
      <c r="J114" s="18">
        <v>1.8749999999999999E-2</v>
      </c>
      <c r="M114" s="103">
        <f t="shared" si="120"/>
        <v>2.5000000001455192E-2</v>
      </c>
      <c r="N114" s="103">
        <f t="shared" si="121"/>
        <v>0.64027777777664596</v>
      </c>
      <c r="O114" s="103">
        <f t="shared" si="122"/>
        <v>3.0555555560567882E-2</v>
      </c>
      <c r="P114" s="103">
        <f t="shared" si="115"/>
        <v>0.22083333333284827</v>
      </c>
      <c r="S114" s="34">
        <f t="shared" si="123"/>
        <v>36.000000002095476</v>
      </c>
      <c r="T114" s="34">
        <f t="shared" si="124"/>
        <v>921.99999999837019</v>
      </c>
      <c r="U114" s="34">
        <f t="shared" si="125"/>
        <v>44.00000000721775</v>
      </c>
      <c r="V114" s="34">
        <f t="shared" si="126"/>
        <v>317.99999999930151</v>
      </c>
    </row>
    <row r="115" spans="1:29">
      <c r="A115" s="92" t="s">
        <v>28</v>
      </c>
      <c r="B115" s="20" t="s">
        <v>416</v>
      </c>
      <c r="C115" s="80">
        <v>46121</v>
      </c>
      <c r="D115" s="18">
        <v>0.23958333333333334</v>
      </c>
      <c r="E115" s="80">
        <v>46121</v>
      </c>
      <c r="F115" s="18">
        <v>0.34791666666666665</v>
      </c>
      <c r="G115" s="80">
        <v>46121</v>
      </c>
      <c r="H115" s="18">
        <v>0.42777777777777776</v>
      </c>
      <c r="I115" s="80">
        <v>46121</v>
      </c>
      <c r="J115" s="18">
        <v>0.4597222222222222</v>
      </c>
      <c r="M115" s="103">
        <f t="shared" si="120"/>
        <v>0.10833333332993789</v>
      </c>
      <c r="N115" s="103">
        <f t="shared" si="121"/>
        <v>7.9861111109494232E-2</v>
      </c>
      <c r="O115" s="103">
        <f t="shared" si="122"/>
        <v>3.1944444446708076E-2</v>
      </c>
      <c r="P115" s="103">
        <f t="shared" si="115"/>
        <v>0.45972222222189885</v>
      </c>
      <c r="S115" s="62">
        <f t="shared" si="123"/>
        <v>155.99999999511056</v>
      </c>
      <c r="T115" s="62">
        <f t="shared" si="124"/>
        <v>114.99999999767169</v>
      </c>
      <c r="U115" s="62">
        <f t="shared" si="125"/>
        <v>46.000000003259629</v>
      </c>
      <c r="V115" s="62">
        <f t="shared" si="126"/>
        <v>661.99999999953434</v>
      </c>
    </row>
    <row r="116" spans="1:29">
      <c r="A116" s="92" t="s">
        <v>28</v>
      </c>
      <c r="B116" s="20" t="s">
        <v>416</v>
      </c>
      <c r="C116" s="80">
        <v>46121</v>
      </c>
      <c r="D116" s="18">
        <v>0.9194444444444444</v>
      </c>
      <c r="E116" s="80">
        <v>46122</v>
      </c>
      <c r="F116" s="18">
        <v>0.19236111111111112</v>
      </c>
      <c r="G116" s="80">
        <v>46122</v>
      </c>
      <c r="H116" s="18">
        <v>0.2986111111111111</v>
      </c>
      <c r="I116" s="80">
        <v>46122</v>
      </c>
      <c r="J116" s="18">
        <v>0.31666666666666665</v>
      </c>
      <c r="M116" s="103">
        <f t="shared" si="120"/>
        <v>0.27291666666860692</v>
      </c>
      <c r="N116" s="103">
        <f t="shared" si="121"/>
        <v>0.10624999999708962</v>
      </c>
      <c r="O116" s="103">
        <f t="shared" si="122"/>
        <v>1.8055555556202307E-2</v>
      </c>
      <c r="P116" s="103">
        <f t="shared" si="115"/>
        <v>0.25138888889341615</v>
      </c>
      <c r="S116" s="62">
        <f t="shared" si="123"/>
        <v>393.00000000279397</v>
      </c>
      <c r="T116" s="62">
        <f t="shared" si="124"/>
        <v>152.99999999580905</v>
      </c>
      <c r="U116" s="62">
        <f t="shared" si="125"/>
        <v>26.000000000931323</v>
      </c>
      <c r="V116" s="62">
        <f t="shared" si="126"/>
        <v>362.00000000651926</v>
      </c>
    </row>
    <row r="117" spans="1:29">
      <c r="A117" s="92" t="s">
        <v>28</v>
      </c>
      <c r="B117" s="20" t="s">
        <v>416</v>
      </c>
      <c r="C117" s="80">
        <v>46122</v>
      </c>
      <c r="D117" s="18">
        <v>0.56805555555555554</v>
      </c>
      <c r="E117" s="80">
        <v>46123</v>
      </c>
      <c r="F117" s="18">
        <v>0.65208333333333335</v>
      </c>
      <c r="G117" s="80">
        <v>46123</v>
      </c>
      <c r="H117" s="18">
        <v>0.7583333333333333</v>
      </c>
      <c r="I117" s="80">
        <v>46123</v>
      </c>
      <c r="J117" s="18">
        <v>0.79097222222222219</v>
      </c>
      <c r="M117" s="103">
        <f t="shared" si="120"/>
        <v>1.0840277777751908</v>
      </c>
      <c r="N117" s="103">
        <f>(G117+H117)-(E117+F117)</f>
        <v>0.10624999999708962</v>
      </c>
      <c r="O117" s="103">
        <f t="shared" si="122"/>
        <v>3.2638888893416151E-2</v>
      </c>
      <c r="P117" s="103">
        <f t="shared" si="115"/>
        <v>0.17638888888905058</v>
      </c>
      <c r="S117" s="34">
        <f t="shared" si="123"/>
        <v>1560.9999999962747</v>
      </c>
      <c r="T117" s="34">
        <f t="shared" si="124"/>
        <v>152.99999999580905</v>
      </c>
      <c r="U117" s="34">
        <f t="shared" si="125"/>
        <v>47.000000006519258</v>
      </c>
      <c r="V117" s="34">
        <f t="shared" si="126"/>
        <v>254.00000000023283</v>
      </c>
    </row>
    <row r="118" spans="1:29" ht="15.75" thickBot="1">
      <c r="A118" s="102" t="s">
        <v>28</v>
      </c>
      <c r="B118" s="51" t="s">
        <v>416</v>
      </c>
      <c r="C118" s="45">
        <v>46123</v>
      </c>
      <c r="D118" s="46">
        <v>0.96736111111111112</v>
      </c>
      <c r="E118" s="45">
        <v>46124</v>
      </c>
      <c r="F118" s="46">
        <v>9.375E-2</v>
      </c>
      <c r="G118" s="45">
        <v>46124</v>
      </c>
      <c r="H118" s="46">
        <v>0.66249999999999998</v>
      </c>
      <c r="I118" s="45">
        <v>46124</v>
      </c>
      <c r="J118" s="46">
        <v>0.70694444444444449</v>
      </c>
      <c r="M118" s="41">
        <f t="shared" si="120"/>
        <v>0.12638888888614019</v>
      </c>
      <c r="N118" s="41">
        <f t="shared" si="121"/>
        <v>0.56874999999854481</v>
      </c>
      <c r="O118" s="41">
        <f t="shared" si="122"/>
        <v>4.4444444443797693E-2</v>
      </c>
      <c r="P118" s="41">
        <f t="shared" si="115"/>
        <v>9.4444444446708076E-2</v>
      </c>
      <c r="S118" s="90">
        <f t="shared" si="123"/>
        <v>181.99999999604188</v>
      </c>
      <c r="T118" s="90">
        <f t="shared" si="124"/>
        <v>818.99999999790452</v>
      </c>
      <c r="U118" s="90">
        <f t="shared" si="125"/>
        <v>63.999999999068677</v>
      </c>
      <c r="V118" s="90">
        <f t="shared" si="126"/>
        <v>136.00000000325963</v>
      </c>
    </row>
    <row r="119" spans="1:29" ht="15.75" thickBot="1">
      <c r="A119" s="101" t="s">
        <v>29</v>
      </c>
      <c r="B119" s="59" t="s">
        <v>417</v>
      </c>
      <c r="C119" s="80">
        <v>46124</v>
      </c>
      <c r="D119" s="74">
        <v>0.80138888888888893</v>
      </c>
      <c r="E119" s="80">
        <v>46125</v>
      </c>
      <c r="F119" s="74">
        <v>0.05</v>
      </c>
      <c r="G119" s="80">
        <v>46125</v>
      </c>
      <c r="H119" s="74">
        <v>0.43541666666666667</v>
      </c>
      <c r="I119" s="80">
        <v>46125</v>
      </c>
      <c r="J119" s="74">
        <v>0.46805555555555556</v>
      </c>
      <c r="M119" s="67">
        <f t="shared" si="120"/>
        <v>0.24861111111385981</v>
      </c>
      <c r="N119" s="67">
        <f>(G119+H119)-(E119+F119)</f>
        <v>0.38541666666424135</v>
      </c>
      <c r="O119" s="67">
        <f t="shared" si="122"/>
        <v>3.2638888886140194E-2</v>
      </c>
      <c r="P119" s="67">
        <f t="shared" si="115"/>
        <v>0.67777777778246673</v>
      </c>
      <c r="S119" s="62">
        <f t="shared" si="123"/>
        <v>358.00000000395812</v>
      </c>
      <c r="T119" s="62">
        <f t="shared" si="124"/>
        <v>554.99999999650754</v>
      </c>
      <c r="U119" s="62">
        <f t="shared" si="125"/>
        <v>46.999999996041879</v>
      </c>
      <c r="V119" s="62">
        <f t="shared" si="126"/>
        <v>976.00000000675209</v>
      </c>
      <c r="X119" s="61" t="s">
        <v>86</v>
      </c>
      <c r="Y119" s="61">
        <v>11000</v>
      </c>
      <c r="Z119" s="63">
        <f>SUM(S119:S126)</f>
        <v>1747.99999998766</v>
      </c>
      <c r="AA119" s="63">
        <f>SUM(T119:T126)</f>
        <v>3826.000000013737</v>
      </c>
      <c r="AB119" s="63">
        <f t="shared" ref="AB119:AC119" si="127">SUM(U119:U126)</f>
        <v>526.99999997857958</v>
      </c>
      <c r="AC119" s="63">
        <f t="shared" si="127"/>
        <v>4368.0000000202563</v>
      </c>
    </row>
    <row r="120" spans="1:29" ht="15.75" thickBot="1">
      <c r="A120" s="92" t="s">
        <v>29</v>
      </c>
      <c r="B120" s="20" t="s">
        <v>417</v>
      </c>
      <c r="C120" s="80">
        <v>46126</v>
      </c>
      <c r="D120" s="18">
        <v>0.14583333333333334</v>
      </c>
      <c r="E120" s="80">
        <v>46126</v>
      </c>
      <c r="F120" s="18">
        <v>0.23472222222222222</v>
      </c>
      <c r="G120" s="80">
        <v>46126</v>
      </c>
      <c r="H120" s="18">
        <v>0.65486111111111112</v>
      </c>
      <c r="I120" s="80">
        <v>46126</v>
      </c>
      <c r="J120" s="18">
        <v>0.69444444444444442</v>
      </c>
      <c r="M120" s="103">
        <f t="shared" si="120"/>
        <v>8.8888888887595385E-2</v>
      </c>
      <c r="N120" s="103">
        <f t="shared" si="121"/>
        <v>0.42013888889050577</v>
      </c>
      <c r="O120" s="103">
        <f t="shared" si="122"/>
        <v>3.9583333331393078E-2</v>
      </c>
      <c r="P120" s="103">
        <f t="shared" si="115"/>
        <v>0.31597222221898846</v>
      </c>
      <c r="S120" s="34">
        <f t="shared" si="123"/>
        <v>127.99999999813735</v>
      </c>
      <c r="T120" s="34">
        <f t="shared" si="124"/>
        <v>605.00000000232831</v>
      </c>
      <c r="U120" s="34">
        <f t="shared" si="125"/>
        <v>56.999999997206032</v>
      </c>
      <c r="V120" s="34">
        <f t="shared" si="126"/>
        <v>454.99999999534339</v>
      </c>
      <c r="Z120" s="65">
        <f>(Z119/Y119)*100</f>
        <v>15.890909090796908</v>
      </c>
      <c r="AA120" s="68">
        <f>(AA119/Y119)*100</f>
        <v>34.781818181943066</v>
      </c>
      <c r="AB120" s="65">
        <f>(AB119/Y119)*100</f>
        <v>4.7909090907143597</v>
      </c>
      <c r="AC120" s="66">
        <f>(AC119/Y119)*100</f>
        <v>39.709090909275055</v>
      </c>
    </row>
    <row r="121" spans="1:29">
      <c r="A121" s="92" t="s">
        <v>29</v>
      </c>
      <c r="B121" s="20" t="s">
        <v>417</v>
      </c>
      <c r="C121" s="80">
        <v>46127</v>
      </c>
      <c r="D121" s="18">
        <v>1.0416666666666666E-2</v>
      </c>
      <c r="E121" s="80">
        <v>46127</v>
      </c>
      <c r="F121" s="18">
        <v>9.5138888888888884E-2</v>
      </c>
      <c r="G121" s="80">
        <v>46127</v>
      </c>
      <c r="H121" s="18">
        <v>0.65277777777777779</v>
      </c>
      <c r="I121" s="80">
        <v>46127</v>
      </c>
      <c r="J121" s="18">
        <v>0.6958333333333333</v>
      </c>
      <c r="M121" s="103">
        <f t="shared" ref="M121:M125" si="128">(E121+F121)-(C121+D121)</f>
        <v>8.4722222221898846E-2</v>
      </c>
      <c r="N121" s="103">
        <f t="shared" ref="N121:N125" si="129">(G121+H121)-(E121+F121)</f>
        <v>0.55763888889487134</v>
      </c>
      <c r="O121" s="103">
        <f t="shared" ref="O121:O125" si="130">(I121+J121)-(G121+H121)</f>
        <v>4.3055555550381541E-2</v>
      </c>
      <c r="P121" s="103">
        <f t="shared" ref="P121:P125" si="131">(C122+D122)-(I121+J121)</f>
        <v>0.76041666667151731</v>
      </c>
      <c r="S121" s="34">
        <f t="shared" ref="S121:S125" si="132">1440*M121</f>
        <v>121.99999999953434</v>
      </c>
      <c r="T121" s="34">
        <f t="shared" ref="T121:T125" si="133">1440*N121</f>
        <v>803.00000000861473</v>
      </c>
      <c r="U121" s="34">
        <f t="shared" ref="U121:U125" si="134">1440*O121</f>
        <v>61.999999992549419</v>
      </c>
      <c r="V121" s="34">
        <f t="shared" ref="V121:V125" si="135">1440*P121</f>
        <v>1095.0000000069849</v>
      </c>
    </row>
    <row r="122" spans="1:29">
      <c r="A122" s="92" t="s">
        <v>29</v>
      </c>
      <c r="B122" s="20" t="s">
        <v>417</v>
      </c>
      <c r="C122" s="80">
        <v>46128</v>
      </c>
      <c r="D122" s="18">
        <v>0.45624999999999999</v>
      </c>
      <c r="E122" s="80">
        <v>46128</v>
      </c>
      <c r="F122" s="18">
        <v>0.68819444444444444</v>
      </c>
      <c r="G122" s="80">
        <v>46128</v>
      </c>
      <c r="H122" s="18">
        <v>0.81388888888888888</v>
      </c>
      <c r="I122" s="80">
        <v>46128</v>
      </c>
      <c r="J122" s="18">
        <v>0.8305555555555556</v>
      </c>
      <c r="M122" s="103">
        <f t="shared" si="128"/>
        <v>0.23194444444379769</v>
      </c>
      <c r="N122" s="103">
        <f t="shared" si="129"/>
        <v>0.12569444443943212</v>
      </c>
      <c r="O122" s="103">
        <f t="shared" si="130"/>
        <v>1.6666666670062114E-2</v>
      </c>
      <c r="P122" s="103">
        <f t="shared" si="131"/>
        <v>4.1666666664241347E-2</v>
      </c>
      <c r="S122" s="34">
        <f t="shared" si="132"/>
        <v>333.99999999906868</v>
      </c>
      <c r="T122" s="34">
        <f t="shared" si="133"/>
        <v>180.99999999278225</v>
      </c>
      <c r="U122" s="34">
        <f t="shared" si="134"/>
        <v>24.000000004889444</v>
      </c>
      <c r="V122" s="34">
        <f t="shared" si="135"/>
        <v>59.99999999650754</v>
      </c>
    </row>
    <row r="123" spans="1:29">
      <c r="A123" s="92" t="s">
        <v>29</v>
      </c>
      <c r="B123" s="20" t="s">
        <v>417</v>
      </c>
      <c r="C123" s="80">
        <v>46128</v>
      </c>
      <c r="D123" s="18">
        <v>0.87222222222222223</v>
      </c>
      <c r="E123" s="80">
        <v>46129</v>
      </c>
      <c r="F123" s="18">
        <v>5.486111111111111E-2</v>
      </c>
      <c r="G123" s="80">
        <v>46129</v>
      </c>
      <c r="H123" s="18">
        <v>0.25763888888888886</v>
      </c>
      <c r="I123" s="80">
        <v>46129</v>
      </c>
      <c r="J123" s="18">
        <v>0.32777777777777778</v>
      </c>
      <c r="M123" s="103">
        <f t="shared" si="128"/>
        <v>0.18263888888759539</v>
      </c>
      <c r="N123" s="103">
        <f t="shared" si="129"/>
        <v>0.20277777778392192</v>
      </c>
      <c r="O123" s="103">
        <f t="shared" si="130"/>
        <v>7.0138888884685002E-2</v>
      </c>
      <c r="P123" s="103">
        <f t="shared" si="131"/>
        <v>0.15000000000145519</v>
      </c>
      <c r="S123" s="34">
        <f t="shared" si="132"/>
        <v>262.99999999813735</v>
      </c>
      <c r="T123" s="34">
        <f t="shared" si="133"/>
        <v>292.00000000884756</v>
      </c>
      <c r="U123" s="34">
        <f t="shared" si="134"/>
        <v>100.9999999939464</v>
      </c>
      <c r="V123" s="34">
        <f t="shared" si="135"/>
        <v>216.00000000209548</v>
      </c>
    </row>
    <row r="124" spans="1:29">
      <c r="A124" s="92" t="s">
        <v>29</v>
      </c>
      <c r="B124" s="20" t="s">
        <v>417</v>
      </c>
      <c r="C124" s="80">
        <v>46129</v>
      </c>
      <c r="D124" s="18">
        <v>0.4777777777777778</v>
      </c>
      <c r="E124" s="80">
        <v>46129</v>
      </c>
      <c r="F124" s="18">
        <v>0.61875000000000002</v>
      </c>
      <c r="G124" s="80">
        <v>46130</v>
      </c>
      <c r="H124" s="18">
        <v>0.05</v>
      </c>
      <c r="I124" s="80">
        <v>46130</v>
      </c>
      <c r="J124" s="18">
        <v>0.11388888888888889</v>
      </c>
      <c r="M124" s="103">
        <f t="shared" si="128"/>
        <v>0.14097222222335404</v>
      </c>
      <c r="N124" s="103">
        <f t="shared" si="129"/>
        <v>0.43125000000145519</v>
      </c>
      <c r="O124" s="103">
        <f t="shared" si="130"/>
        <v>6.3888888886140194E-2</v>
      </c>
      <c r="P124" s="103">
        <f t="shared" si="131"/>
        <v>0.12986111111240461</v>
      </c>
      <c r="S124" s="34">
        <f t="shared" si="132"/>
        <v>203.00000000162981</v>
      </c>
      <c r="T124" s="34">
        <f t="shared" si="133"/>
        <v>621.00000000209548</v>
      </c>
      <c r="U124" s="34">
        <f t="shared" si="134"/>
        <v>91.999999996041879</v>
      </c>
      <c r="V124" s="34">
        <f t="shared" si="135"/>
        <v>187.00000000186265</v>
      </c>
    </row>
    <row r="125" spans="1:29">
      <c r="A125" s="92" t="s">
        <v>29</v>
      </c>
      <c r="B125" s="20" t="s">
        <v>417</v>
      </c>
      <c r="C125" s="80">
        <v>46130</v>
      </c>
      <c r="D125" s="18">
        <v>0.24374999999999999</v>
      </c>
      <c r="E125" s="80">
        <v>46130</v>
      </c>
      <c r="F125" s="18">
        <v>0.36319444444444443</v>
      </c>
      <c r="G125" s="80">
        <v>46130</v>
      </c>
      <c r="H125" s="18">
        <v>0.8520833333333333</v>
      </c>
      <c r="I125" s="80">
        <v>46130</v>
      </c>
      <c r="J125" s="18">
        <v>0.90555555555555556</v>
      </c>
      <c r="M125" s="103">
        <f t="shared" si="128"/>
        <v>0.11944444444088731</v>
      </c>
      <c r="N125" s="103">
        <f t="shared" si="129"/>
        <v>0.48888888888905058</v>
      </c>
      <c r="O125" s="103">
        <f t="shared" si="130"/>
        <v>5.3472222221898846E-2</v>
      </c>
      <c r="P125" s="103">
        <f t="shared" si="131"/>
        <v>0.10416666667151731</v>
      </c>
      <c r="S125" s="34">
        <f t="shared" si="132"/>
        <v>171.99999999487773</v>
      </c>
      <c r="T125" s="34">
        <f t="shared" si="133"/>
        <v>704.00000000023283</v>
      </c>
      <c r="U125" s="34">
        <f t="shared" si="134"/>
        <v>76.999999999534339</v>
      </c>
      <c r="V125" s="34">
        <f t="shared" si="135"/>
        <v>150.00000000698492</v>
      </c>
    </row>
    <row r="126" spans="1:29" ht="15.75" thickBot="1">
      <c r="A126" s="102" t="s">
        <v>29</v>
      </c>
      <c r="B126" s="51" t="s">
        <v>417</v>
      </c>
      <c r="C126" s="45">
        <v>46131</v>
      </c>
      <c r="D126" s="46">
        <v>9.7222222222222224E-3</v>
      </c>
      <c r="E126" s="45">
        <v>46131</v>
      </c>
      <c r="F126" s="46">
        <v>0.12638888888888888</v>
      </c>
      <c r="G126" s="45">
        <v>46131</v>
      </c>
      <c r="H126" s="46">
        <v>0.17152777777777778</v>
      </c>
      <c r="I126" s="45">
        <v>46131</v>
      </c>
      <c r="J126" s="46">
        <v>0.21805555555555556</v>
      </c>
      <c r="M126" s="41">
        <f t="shared" ref="M126:M128" si="136">(E126+F126)-(C126+D126)</f>
        <v>0.11666666666133096</v>
      </c>
      <c r="N126" s="41">
        <f t="shared" ref="N126:N128" si="137">(G126+H126)-(E126+F126)</f>
        <v>4.5138888890505768E-2</v>
      </c>
      <c r="O126" s="41">
        <f t="shared" ref="O126:O129" si="138">(I126+J126)-(G126+H126)</f>
        <v>4.6527777776645962E-2</v>
      </c>
      <c r="P126" s="41">
        <f t="shared" ref="P126:P129" si="139">(C127+D127)-(I126+J126)</f>
        <v>0.85347222222480923</v>
      </c>
      <c r="S126" s="90">
        <f t="shared" ref="S126:S129" si="140">1440*M126</f>
        <v>167.99999999231659</v>
      </c>
      <c r="T126" s="90">
        <f t="shared" ref="T126:T129" si="141">1440*N126</f>
        <v>65.000000002328306</v>
      </c>
      <c r="U126" s="90">
        <f t="shared" ref="U126:U129" si="142">1440*O126</f>
        <v>66.999999998370185</v>
      </c>
      <c r="V126" s="90">
        <f t="shared" ref="V126:V129" si="143">1440*P126</f>
        <v>1229.0000000037253</v>
      </c>
    </row>
    <row r="127" spans="1:29" ht="15.75" thickBot="1">
      <c r="A127" s="101" t="s">
        <v>31</v>
      </c>
      <c r="B127" s="59" t="s">
        <v>431</v>
      </c>
      <c r="C127" s="80">
        <v>46132</v>
      </c>
      <c r="D127" s="74">
        <v>7.1527777777777773E-2</v>
      </c>
      <c r="E127" s="80">
        <v>46132</v>
      </c>
      <c r="F127" s="74">
        <v>0.17847222222222223</v>
      </c>
      <c r="G127" s="80">
        <v>46132</v>
      </c>
      <c r="H127" s="74">
        <v>0.70833333333333337</v>
      </c>
      <c r="I127" s="80">
        <v>46132</v>
      </c>
      <c r="J127" s="74">
        <v>0.77361111111111114</v>
      </c>
      <c r="M127" s="67">
        <f>(E127+F127)-(C127+D127)</f>
        <v>0.10694444444379769</v>
      </c>
      <c r="N127" s="67">
        <f>(G127+H127)-(E127+F127)</f>
        <v>0.52986111111385981</v>
      </c>
      <c r="O127" s="67">
        <f t="shared" si="138"/>
        <v>6.5277777772280388E-2</v>
      </c>
      <c r="P127" s="67">
        <f t="shared" si="139"/>
        <v>5.9722222227719612E-2</v>
      </c>
      <c r="S127" s="62">
        <f t="shared" si="140"/>
        <v>153.99999999906868</v>
      </c>
      <c r="T127" s="62">
        <f t="shared" si="141"/>
        <v>763.00000000395812</v>
      </c>
      <c r="U127" s="62">
        <f t="shared" si="142"/>
        <v>93.999999992083758</v>
      </c>
      <c r="V127" s="62">
        <f t="shared" si="143"/>
        <v>86.000000007916242</v>
      </c>
      <c r="X127" s="61" t="s">
        <v>86</v>
      </c>
      <c r="Y127" s="61">
        <v>11000</v>
      </c>
      <c r="Z127" s="63">
        <f>SUM(S127:S135)</f>
        <v>1490.9999999881256</v>
      </c>
      <c r="AA127" s="63">
        <f>SUM(T127:T135)</f>
        <v>5561.0000000009313</v>
      </c>
      <c r="AB127" s="63">
        <f t="shared" ref="AB127:AC127" si="144">SUM(U127:U135)</f>
        <v>550.00000000116415</v>
      </c>
      <c r="AC127" s="63">
        <f t="shared" si="144"/>
        <v>2461.0000000067521</v>
      </c>
    </row>
    <row r="128" spans="1:29" ht="15.75" thickBot="1">
      <c r="A128" s="92" t="s">
        <v>31</v>
      </c>
      <c r="B128" s="20" t="s">
        <v>431</v>
      </c>
      <c r="C128" s="21">
        <v>46132</v>
      </c>
      <c r="D128" s="18">
        <v>0.83333333333333337</v>
      </c>
      <c r="E128" s="21">
        <v>46132</v>
      </c>
      <c r="F128" s="18">
        <v>0.95208333333333328</v>
      </c>
      <c r="G128" s="21">
        <v>46133</v>
      </c>
      <c r="H128" s="18">
        <v>0.5180555555555556</v>
      </c>
      <c r="I128" s="21">
        <v>46133</v>
      </c>
      <c r="J128" s="18">
        <v>0.56944444444444442</v>
      </c>
      <c r="M128" s="103">
        <f t="shared" si="136"/>
        <v>0.11874999999417923</v>
      </c>
      <c r="N128" s="103">
        <f t="shared" si="137"/>
        <v>0.56597222222626442</v>
      </c>
      <c r="O128" s="103">
        <f t="shared" si="138"/>
        <v>5.1388888889050577E-2</v>
      </c>
      <c r="P128" s="103">
        <f t="shared" si="139"/>
        <v>0.46527777777373558</v>
      </c>
      <c r="S128" s="34">
        <f t="shared" si="140"/>
        <v>170.9999999916181</v>
      </c>
      <c r="T128" s="34">
        <f t="shared" si="141"/>
        <v>815.00000000582077</v>
      </c>
      <c r="U128" s="34">
        <f t="shared" si="142"/>
        <v>74.000000000232831</v>
      </c>
      <c r="V128" s="34">
        <f t="shared" si="143"/>
        <v>669.99999999417923</v>
      </c>
      <c r="Z128" s="65">
        <f>(Z127/Y127)*100</f>
        <v>13.554545454437505</v>
      </c>
      <c r="AA128" s="68">
        <f>(AA127/Y127)*100</f>
        <v>50.554545454553924</v>
      </c>
      <c r="AB128" s="65">
        <f>(AB127/Y127)*100</f>
        <v>5.0000000000105835</v>
      </c>
      <c r="AC128" s="66">
        <f>(AC127/Y127)*100</f>
        <v>22.372727272788655</v>
      </c>
    </row>
    <row r="129" spans="1:29">
      <c r="A129" s="92" t="s">
        <v>31</v>
      </c>
      <c r="B129" s="20" t="s">
        <v>431</v>
      </c>
      <c r="C129" s="21">
        <v>46134</v>
      </c>
      <c r="D129" s="18">
        <v>3.4722222222222224E-2</v>
      </c>
      <c r="E129" s="21">
        <v>46134</v>
      </c>
      <c r="F129" s="18">
        <v>0.11527777777777778</v>
      </c>
      <c r="G129" s="21">
        <v>46134</v>
      </c>
      <c r="H129" s="18">
        <v>0.34097222222222223</v>
      </c>
      <c r="I129" s="21">
        <v>46134</v>
      </c>
      <c r="J129" s="18">
        <v>0.36180555555555555</v>
      </c>
      <c r="M129" s="103">
        <f>(E129+F129)-(C129+D129)</f>
        <v>8.0555555556202307E-2</v>
      </c>
      <c r="N129" s="103">
        <f>(G129+H129)-(E129+F129)</f>
        <v>0.22569444444525288</v>
      </c>
      <c r="O129" s="103">
        <f t="shared" si="138"/>
        <v>2.0833333335758653E-2</v>
      </c>
      <c r="P129" s="103">
        <f t="shared" si="139"/>
        <v>0.10069444444525288</v>
      </c>
      <c r="S129" s="34">
        <f t="shared" si="140"/>
        <v>116.00000000093132</v>
      </c>
      <c r="T129" s="34">
        <f t="shared" si="141"/>
        <v>325.00000000116415</v>
      </c>
      <c r="U129" s="34">
        <f t="shared" si="142"/>
        <v>30.00000000349246</v>
      </c>
      <c r="V129" s="34">
        <f t="shared" si="143"/>
        <v>145.00000000116415</v>
      </c>
    </row>
    <row r="130" spans="1:29">
      <c r="A130" s="92" t="s">
        <v>31</v>
      </c>
      <c r="B130" s="20" t="s">
        <v>431</v>
      </c>
      <c r="C130" s="21">
        <v>46134</v>
      </c>
      <c r="D130" s="18">
        <v>0.46250000000000002</v>
      </c>
      <c r="E130" s="21">
        <v>46134</v>
      </c>
      <c r="F130" s="18">
        <v>0.61388888888888893</v>
      </c>
      <c r="G130" s="21">
        <v>46135</v>
      </c>
      <c r="H130" s="18">
        <v>0.13819444444444445</v>
      </c>
      <c r="I130" s="21">
        <v>46135</v>
      </c>
      <c r="J130" s="18">
        <v>0.19583333333333333</v>
      </c>
      <c r="M130" s="103">
        <f t="shared" ref="M130:M139" si="145">(E130+F130)-(C130+D130)</f>
        <v>0.15138888888759539</v>
      </c>
      <c r="N130" s="103">
        <f>(G130+H130)-(E130+F130)</f>
        <v>0.52430555555474712</v>
      </c>
      <c r="O130" s="103">
        <f t="shared" ref="O130:O139" si="146">(I130+J130)-(G130+H130)</f>
        <v>5.7638888887595385E-2</v>
      </c>
      <c r="P130" s="103">
        <f t="shared" ref="P130:P139" si="147">(C131+D131)-(I130+J130)</f>
        <v>0.69513888889196096</v>
      </c>
      <c r="S130" s="34">
        <f t="shared" ref="S130:S141" si="148">1440*M130</f>
        <v>217.99999999813735</v>
      </c>
      <c r="T130" s="34">
        <f>1440*N130</f>
        <v>754.99999999883585</v>
      </c>
      <c r="U130" s="34">
        <f t="shared" ref="U130:U141" si="149">1440*O130</f>
        <v>82.999999998137355</v>
      </c>
      <c r="V130" s="34">
        <f t="shared" ref="V130:V142" si="150">1440*P130</f>
        <v>1001.0000000044238</v>
      </c>
    </row>
    <row r="131" spans="1:29">
      <c r="A131" s="92" t="s">
        <v>31</v>
      </c>
      <c r="B131" s="20" t="s">
        <v>431</v>
      </c>
      <c r="C131" s="21">
        <v>46135</v>
      </c>
      <c r="D131" s="18">
        <v>0.89097222222222228</v>
      </c>
      <c r="E131" s="21">
        <v>46136</v>
      </c>
      <c r="F131" s="18">
        <v>4.027777777777778E-2</v>
      </c>
      <c r="G131" s="21">
        <v>46136</v>
      </c>
      <c r="H131" s="18">
        <v>0.42083333333333334</v>
      </c>
      <c r="I131" s="21">
        <v>46136</v>
      </c>
      <c r="J131" s="18">
        <v>0.4548611111111111</v>
      </c>
      <c r="M131" s="103">
        <f t="shared" si="145"/>
        <v>0.14930555555474712</v>
      </c>
      <c r="N131" s="103">
        <f>(G131+H131)-(E131+F131)</f>
        <v>0.38055555555183673</v>
      </c>
      <c r="O131" s="103">
        <f t="shared" si="146"/>
        <v>3.4027777779556345E-2</v>
      </c>
      <c r="P131" s="103">
        <f t="shared" si="147"/>
        <v>7.9861111109494232E-2</v>
      </c>
      <c r="S131" s="34">
        <f t="shared" si="148"/>
        <v>214.99999999883585</v>
      </c>
      <c r="T131" s="34">
        <f t="shared" ref="T131:T141" si="151">1440*N131</f>
        <v>547.9999999946449</v>
      </c>
      <c r="U131" s="34">
        <f t="shared" si="149"/>
        <v>49.000000002561137</v>
      </c>
      <c r="V131" s="34">
        <f t="shared" si="150"/>
        <v>114.99999999767169</v>
      </c>
    </row>
    <row r="132" spans="1:29">
      <c r="A132" s="92" t="s">
        <v>31</v>
      </c>
      <c r="B132" s="20" t="s">
        <v>431</v>
      </c>
      <c r="C132" s="21">
        <v>46136</v>
      </c>
      <c r="D132" s="18">
        <v>0.53472222222222221</v>
      </c>
      <c r="E132" s="21">
        <v>46136</v>
      </c>
      <c r="F132" s="18">
        <v>0.64236111111111116</v>
      </c>
      <c r="G132" s="21">
        <v>46136</v>
      </c>
      <c r="H132" s="18">
        <v>0.91111111111111109</v>
      </c>
      <c r="I132" s="21">
        <v>46136</v>
      </c>
      <c r="J132" s="18">
        <v>0.94444444444444442</v>
      </c>
      <c r="M132" s="103">
        <f t="shared" si="145"/>
        <v>0.10763888889050577</v>
      </c>
      <c r="N132" s="103">
        <f t="shared" ref="N132:N139" si="152">(G132+H132)-(E132+F132)</f>
        <v>0.26875000000291038</v>
      </c>
      <c r="O132" s="103">
        <f t="shared" si="146"/>
        <v>3.3333333332848269E-2</v>
      </c>
      <c r="P132" s="103">
        <f t="shared" si="147"/>
        <v>5.1388888889050577E-2</v>
      </c>
      <c r="S132" s="34">
        <f t="shared" si="148"/>
        <v>155.00000000232831</v>
      </c>
      <c r="T132" s="34">
        <f t="shared" si="151"/>
        <v>387.00000000419095</v>
      </c>
      <c r="U132" s="34">
        <f t="shared" si="149"/>
        <v>47.999999999301508</v>
      </c>
      <c r="V132" s="34">
        <f t="shared" si="150"/>
        <v>74.000000000232831</v>
      </c>
    </row>
    <row r="133" spans="1:29">
      <c r="A133" s="92" t="s">
        <v>31</v>
      </c>
      <c r="B133" s="20" t="s">
        <v>431</v>
      </c>
      <c r="C133" s="21">
        <v>46136</v>
      </c>
      <c r="D133" s="18">
        <v>0.99583333333333335</v>
      </c>
      <c r="E133" s="21">
        <v>46137</v>
      </c>
      <c r="F133" s="18">
        <v>0.10277777777777777</v>
      </c>
      <c r="G133" s="21">
        <v>46137</v>
      </c>
      <c r="H133" s="18">
        <v>0.44374999999999998</v>
      </c>
      <c r="I133" s="21">
        <v>46137</v>
      </c>
      <c r="J133" s="18">
        <v>0.48402777777777778</v>
      </c>
      <c r="M133" s="103">
        <f t="shared" si="145"/>
        <v>0.10694444444379769</v>
      </c>
      <c r="N133" s="103">
        <f>(G133+H133)-(E133+F133)</f>
        <v>0.34097222222044365</v>
      </c>
      <c r="O133" s="103">
        <f t="shared" si="146"/>
        <v>4.0277777778101154E-2</v>
      </c>
      <c r="P133" s="103">
        <f t="shared" si="147"/>
        <v>4.5138888890505768E-2</v>
      </c>
      <c r="S133" s="34">
        <f t="shared" si="148"/>
        <v>153.99999999906868</v>
      </c>
      <c r="T133" s="34">
        <f t="shared" si="151"/>
        <v>490.99999999743886</v>
      </c>
      <c r="U133" s="34">
        <f t="shared" si="149"/>
        <v>58.000000000465661</v>
      </c>
      <c r="V133" s="34">
        <f t="shared" si="150"/>
        <v>65.000000002328306</v>
      </c>
    </row>
    <row r="134" spans="1:29">
      <c r="A134" s="92" t="s">
        <v>31</v>
      </c>
      <c r="B134" s="20" t="s">
        <v>431</v>
      </c>
      <c r="C134" s="21">
        <v>46137</v>
      </c>
      <c r="D134" s="18">
        <v>0.52916666666666667</v>
      </c>
      <c r="E134" s="21">
        <v>46137</v>
      </c>
      <c r="F134" s="18">
        <v>0.64166666666666672</v>
      </c>
      <c r="G134" s="21">
        <v>46138</v>
      </c>
      <c r="H134" s="18">
        <v>0.11666666666666667</v>
      </c>
      <c r="I134" s="21">
        <v>46138</v>
      </c>
      <c r="J134" s="18">
        <v>0.16180555555555556</v>
      </c>
      <c r="M134" s="103">
        <f t="shared" si="145"/>
        <v>0.11250000000291038</v>
      </c>
      <c r="N134" s="103">
        <f t="shared" si="152"/>
        <v>0.47499999999854481</v>
      </c>
      <c r="O134" s="103">
        <f t="shared" si="146"/>
        <v>4.5138888890505768E-2</v>
      </c>
      <c r="P134" s="103">
        <f t="shared" si="147"/>
        <v>7.3611111110949423E-2</v>
      </c>
      <c r="S134" s="34">
        <f t="shared" si="148"/>
        <v>162.00000000419095</v>
      </c>
      <c r="T134" s="34">
        <f t="shared" si="151"/>
        <v>683.99999999790452</v>
      </c>
      <c r="U134" s="34">
        <f t="shared" si="149"/>
        <v>65.000000002328306</v>
      </c>
      <c r="V134" s="34">
        <f t="shared" si="150"/>
        <v>105.99999999976717</v>
      </c>
    </row>
    <row r="135" spans="1:29" ht="15.75" thickBot="1">
      <c r="A135" s="102" t="s">
        <v>31</v>
      </c>
      <c r="B135" s="51" t="s">
        <v>431</v>
      </c>
      <c r="C135" s="45">
        <v>46138</v>
      </c>
      <c r="D135" s="46">
        <v>0.23541666666666666</v>
      </c>
      <c r="E135" s="45">
        <v>46138</v>
      </c>
      <c r="F135" s="46">
        <v>0.33680555555555558</v>
      </c>
      <c r="G135" s="45">
        <v>46138</v>
      </c>
      <c r="H135" s="46">
        <v>0.88749999999999996</v>
      </c>
      <c r="I135" s="45">
        <v>46138</v>
      </c>
      <c r="J135" s="46">
        <v>0.92152777777777772</v>
      </c>
      <c r="M135" s="41">
        <f t="shared" si="145"/>
        <v>0.101388888884685</v>
      </c>
      <c r="N135" s="41">
        <f t="shared" si="152"/>
        <v>0.5506944444423425</v>
      </c>
      <c r="O135" s="41">
        <f t="shared" si="146"/>
        <v>3.4027777779556345E-2</v>
      </c>
      <c r="P135" s="41">
        <f t="shared" si="147"/>
        <v>0.13819444444379769</v>
      </c>
      <c r="S135" s="90">
        <f t="shared" si="148"/>
        <v>145.9999999939464</v>
      </c>
      <c r="T135" s="90">
        <f t="shared" si="151"/>
        <v>792.9999999969732</v>
      </c>
      <c r="U135" s="90">
        <f t="shared" si="149"/>
        <v>49.000000002561137</v>
      </c>
      <c r="V135" s="90">
        <f t="shared" si="150"/>
        <v>198.99999999906868</v>
      </c>
    </row>
    <row r="136" spans="1:29" ht="15.75" thickBot="1">
      <c r="A136" s="101" t="s">
        <v>32</v>
      </c>
      <c r="B136" s="59" t="s">
        <v>451</v>
      </c>
      <c r="C136" s="80">
        <v>46139</v>
      </c>
      <c r="D136" s="74">
        <v>5.9722222222222225E-2</v>
      </c>
      <c r="E136" s="80">
        <v>46139</v>
      </c>
      <c r="F136" s="74">
        <v>0.15347222222222223</v>
      </c>
      <c r="G136" s="80">
        <v>46139</v>
      </c>
      <c r="H136" s="74">
        <v>0.66041666666666665</v>
      </c>
      <c r="I136" s="80">
        <v>46139</v>
      </c>
      <c r="J136" s="74">
        <v>0.68402777777777779</v>
      </c>
      <c r="M136" s="67">
        <f t="shared" si="145"/>
        <v>9.375E-2</v>
      </c>
      <c r="N136" s="67">
        <f t="shared" si="152"/>
        <v>0.50694444444525288</v>
      </c>
      <c r="O136" s="67">
        <f t="shared" si="146"/>
        <v>2.3611111115314998E-2</v>
      </c>
      <c r="P136" s="67">
        <f t="shared" si="147"/>
        <v>0.13819444444379769</v>
      </c>
      <c r="S136" s="62">
        <f t="shared" si="148"/>
        <v>135</v>
      </c>
      <c r="T136" s="62">
        <f t="shared" si="151"/>
        <v>730.00000000116415</v>
      </c>
      <c r="U136" s="62">
        <f t="shared" si="149"/>
        <v>34.000000006053597</v>
      </c>
      <c r="V136" s="62">
        <f t="shared" si="150"/>
        <v>198.99999999906868</v>
      </c>
      <c r="X136" s="61" t="s">
        <v>86</v>
      </c>
      <c r="Y136" s="61">
        <v>2880</v>
      </c>
      <c r="Z136" s="63">
        <f>SUM(S136:S137)</f>
        <v>284.99999999650754</v>
      </c>
      <c r="AA136" s="63">
        <f>SUM(T136:T137)</f>
        <v>1380.9999999962747</v>
      </c>
      <c r="AB136" s="63">
        <f>SUM(U136:U137)</f>
        <v>86.000000007916242</v>
      </c>
      <c r="AC136" s="63">
        <f>SUM(V136:V137)</f>
        <v>13585.999999997439</v>
      </c>
    </row>
    <row r="137" spans="1:29" ht="15.75" thickBot="1">
      <c r="A137" s="102" t="s">
        <v>32</v>
      </c>
      <c r="B137" s="51" t="s">
        <v>451</v>
      </c>
      <c r="C137" s="45">
        <v>46139</v>
      </c>
      <c r="D137" s="46">
        <v>0.82222222222222219</v>
      </c>
      <c r="E137" s="45">
        <v>46139</v>
      </c>
      <c r="F137" s="46">
        <v>0.92638888888888893</v>
      </c>
      <c r="G137" s="45">
        <v>46140</v>
      </c>
      <c r="H137" s="46">
        <v>0.37847222222222221</v>
      </c>
      <c r="I137" s="45">
        <v>46140</v>
      </c>
      <c r="J137" s="46">
        <v>0.41458333333333336</v>
      </c>
      <c r="M137" s="41">
        <f t="shared" si="145"/>
        <v>0.10416666666424135</v>
      </c>
      <c r="N137" s="41">
        <f t="shared" si="152"/>
        <v>0.45208333332993789</v>
      </c>
      <c r="O137" s="41">
        <f t="shared" si="146"/>
        <v>3.6111111112404615E-2</v>
      </c>
      <c r="P137" s="41">
        <f t="shared" si="147"/>
        <v>9.296527777776646</v>
      </c>
      <c r="S137" s="90">
        <f t="shared" si="148"/>
        <v>149.99999999650754</v>
      </c>
      <c r="T137" s="90">
        <f t="shared" si="151"/>
        <v>650.99999999511056</v>
      </c>
      <c r="U137" s="90">
        <f t="shared" si="149"/>
        <v>52.000000001862645</v>
      </c>
      <c r="V137" s="90">
        <f t="shared" si="150"/>
        <v>13386.99999999837</v>
      </c>
      <c r="Z137" s="65">
        <f>(Z136/Y136)*100</f>
        <v>9.8958333332120674</v>
      </c>
      <c r="AA137" s="68">
        <f>(AA136/Y136)*100</f>
        <v>47.951388888759539</v>
      </c>
      <c r="AB137" s="65">
        <f>(AB136/Y136)*100</f>
        <v>2.9861111113859806</v>
      </c>
      <c r="AC137" s="66">
        <f>(AC136/Y136)*100</f>
        <v>471.73611111102218</v>
      </c>
    </row>
    <row r="138" spans="1:29" ht="15.75" thickBot="1">
      <c r="A138" s="101" t="s">
        <v>33</v>
      </c>
      <c r="B138" s="59" t="s">
        <v>452</v>
      </c>
      <c r="C138" s="133">
        <v>46149</v>
      </c>
      <c r="D138" s="74">
        <v>0.71111111111111114</v>
      </c>
      <c r="E138" s="133">
        <v>46149</v>
      </c>
      <c r="F138" s="74">
        <v>0.84097222222222223</v>
      </c>
      <c r="G138" s="133">
        <v>46150</v>
      </c>
      <c r="H138" s="74">
        <v>4.1666666666666664E-2</v>
      </c>
      <c r="I138" s="133">
        <v>46150</v>
      </c>
      <c r="J138" s="74">
        <v>7.8472222222222221E-2</v>
      </c>
      <c r="M138" s="67">
        <f t="shared" si="145"/>
        <v>0.12986111111240461</v>
      </c>
      <c r="N138" s="67">
        <f t="shared" si="152"/>
        <v>0.20069444444379769</v>
      </c>
      <c r="O138" s="67">
        <f t="shared" si="146"/>
        <v>3.680555555911269E-2</v>
      </c>
      <c r="P138" s="67">
        <f t="shared" si="147"/>
        <v>0.39236111110949423</v>
      </c>
      <c r="S138" s="62">
        <f t="shared" si="148"/>
        <v>187.00000000186265</v>
      </c>
      <c r="T138" s="62">
        <f>1440*N138</f>
        <v>288.99999999906868</v>
      </c>
      <c r="U138" s="62">
        <f t="shared" si="149"/>
        <v>53.000000005122274</v>
      </c>
      <c r="V138" s="62">
        <f t="shared" si="150"/>
        <v>564.99999999767169</v>
      </c>
      <c r="X138" s="61" t="s">
        <v>86</v>
      </c>
      <c r="Y138" s="61">
        <v>4320</v>
      </c>
      <c r="Z138" s="63">
        <f>SUM(S138:S140)</f>
        <v>506.99999999720603</v>
      </c>
      <c r="AA138" s="63">
        <f>SUM(T138:T140)</f>
        <v>1570.0000000046566</v>
      </c>
      <c r="AB138" s="63">
        <f>SUM(U138:U140)</f>
        <v>150.99999999976717</v>
      </c>
      <c r="AC138" s="63">
        <f>SUM(V138:V140)</f>
        <v>4003.0000000039581</v>
      </c>
    </row>
    <row r="139" spans="1:29" ht="15.75" thickBot="1">
      <c r="A139" s="92" t="s">
        <v>33</v>
      </c>
      <c r="B139" s="20" t="s">
        <v>452</v>
      </c>
      <c r="C139" s="142">
        <v>46150</v>
      </c>
      <c r="D139" s="18">
        <v>0.47083333333333333</v>
      </c>
      <c r="E139" s="142">
        <v>46150</v>
      </c>
      <c r="F139" s="18">
        <v>0.58472222222222225</v>
      </c>
      <c r="G139" s="142">
        <v>46150</v>
      </c>
      <c r="H139" s="18">
        <v>0.99791666666666667</v>
      </c>
      <c r="I139" s="142">
        <v>46151</v>
      </c>
      <c r="J139" s="18">
        <v>2.7083333333333334E-2</v>
      </c>
      <c r="M139" s="103">
        <f t="shared" si="145"/>
        <v>0.11388888888905058</v>
      </c>
      <c r="N139" s="103">
        <f t="shared" si="152"/>
        <v>0.41319444444525288</v>
      </c>
      <c r="O139" s="103">
        <f t="shared" si="146"/>
        <v>2.9166666667151731E-2</v>
      </c>
      <c r="P139" s="103">
        <f t="shared" si="147"/>
        <v>7.1527777778101154E-2</v>
      </c>
      <c r="S139" s="34">
        <f t="shared" si="148"/>
        <v>164.00000000023283</v>
      </c>
      <c r="T139" s="34">
        <f t="shared" si="151"/>
        <v>595.00000000116415</v>
      </c>
      <c r="U139" s="34">
        <f t="shared" si="149"/>
        <v>42.000000000698492</v>
      </c>
      <c r="V139" s="34">
        <f t="shared" si="150"/>
        <v>103.00000000046566</v>
      </c>
      <c r="Z139" s="65">
        <f>(Z138/Y138)*100</f>
        <v>11.736111111046437</v>
      </c>
      <c r="AA139" s="68">
        <f>(AA138/Y138)*100</f>
        <v>36.342592592700385</v>
      </c>
      <c r="AB139" s="65">
        <f>(AB138/Y138)*100</f>
        <v>3.4953703703649808</v>
      </c>
      <c r="AC139" s="66">
        <f>(AC138/Y138)*100</f>
        <v>92.66203703712867</v>
      </c>
    </row>
    <row r="140" spans="1:29" ht="15.75" thickBot="1">
      <c r="A140" s="102" t="s">
        <v>33</v>
      </c>
      <c r="B140" s="51" t="s">
        <v>452</v>
      </c>
      <c r="C140" s="147">
        <v>46151</v>
      </c>
      <c r="D140" s="46">
        <v>9.8611111111111108E-2</v>
      </c>
      <c r="E140" s="147">
        <v>46151</v>
      </c>
      <c r="F140" s="46">
        <v>0.20694444444444443</v>
      </c>
      <c r="G140" s="147">
        <v>46151</v>
      </c>
      <c r="H140" s="46">
        <v>0.68333333333333324</v>
      </c>
      <c r="I140" s="147">
        <v>46151</v>
      </c>
      <c r="J140" s="46">
        <v>0.72222222222222221</v>
      </c>
      <c r="M140" s="41">
        <f t="shared" ref="M140:M158" si="153">(E140+F140)-(C140+D140)</f>
        <v>0.10833333332993789</v>
      </c>
      <c r="N140" s="41">
        <f t="shared" ref="N140:N158" si="154">(G140+H140)-(E140+F140)</f>
        <v>0.47638888889196096</v>
      </c>
      <c r="O140" s="41">
        <f t="shared" ref="O140:O158" si="155">(I140+J140)-(G140+H140)</f>
        <v>3.8888888884685002E-2</v>
      </c>
      <c r="P140" s="41">
        <f t="shared" ref="P140:P158" si="156">(C141+D141)-(I140+J140)</f>
        <v>2.3159722222262644</v>
      </c>
      <c r="S140" s="90">
        <f t="shared" si="148"/>
        <v>155.99999999511056</v>
      </c>
      <c r="T140" s="90">
        <f t="shared" si="151"/>
        <v>686.00000000442378</v>
      </c>
      <c r="U140" s="90">
        <f t="shared" si="149"/>
        <v>55.999999993946403</v>
      </c>
      <c r="V140" s="90">
        <f>1440*P140</f>
        <v>3335.0000000058208</v>
      </c>
    </row>
    <row r="141" spans="1:29" ht="15.75" thickBot="1">
      <c r="A141" s="101" t="s">
        <v>34</v>
      </c>
      <c r="B141" s="59" t="s">
        <v>454</v>
      </c>
      <c r="C141" s="80">
        <v>46154</v>
      </c>
      <c r="D141" s="74">
        <v>3.8194444444444448E-2</v>
      </c>
      <c r="E141" s="80">
        <v>46154</v>
      </c>
      <c r="F141" s="74">
        <v>0.12986111111111112</v>
      </c>
      <c r="G141" s="80">
        <v>46154</v>
      </c>
      <c r="H141" s="74">
        <v>0.62569444444444444</v>
      </c>
      <c r="I141" s="80">
        <v>46154</v>
      </c>
      <c r="J141" s="74">
        <v>0.65555555555555556</v>
      </c>
      <c r="M141" s="67">
        <f t="shared" si="153"/>
        <v>9.1666666667151731E-2</v>
      </c>
      <c r="N141" s="67">
        <f t="shared" si="154"/>
        <v>0.49583333333430346</v>
      </c>
      <c r="O141" s="67">
        <f t="shared" si="155"/>
        <v>2.9861111106583849E-2</v>
      </c>
      <c r="P141" s="67">
        <f t="shared" si="156"/>
        <v>0.37361111111385981</v>
      </c>
      <c r="S141" s="62">
        <f t="shared" si="148"/>
        <v>132.00000000069849</v>
      </c>
      <c r="T141" s="62">
        <f t="shared" si="151"/>
        <v>714.00000000139698</v>
      </c>
      <c r="U141" s="62">
        <f t="shared" si="149"/>
        <v>42.999999993480742</v>
      </c>
      <c r="V141" s="62">
        <f t="shared" si="150"/>
        <v>538.00000000395812</v>
      </c>
      <c r="X141" s="61" t="s">
        <v>86</v>
      </c>
      <c r="Y141" s="61">
        <v>11000</v>
      </c>
      <c r="Z141" s="63">
        <f>SUM(S141:S148)</f>
        <v>1368.0000000167638</v>
      </c>
      <c r="AA141" s="63">
        <f>SUM(T141:T149)</f>
        <v>5604.9999999662396</v>
      </c>
      <c r="AB141" s="63">
        <f t="shared" ref="AB141" si="157">SUM(U141:U148)</f>
        <v>421.99999999254942</v>
      </c>
      <c r="AC141" s="63">
        <f>SUM(V141:V148)</f>
        <v>1395.0000000104774</v>
      </c>
    </row>
    <row r="142" spans="1:29" ht="15.75" thickBot="1">
      <c r="A142" s="101" t="s">
        <v>34</v>
      </c>
      <c r="B142" s="59" t="s">
        <v>454</v>
      </c>
      <c r="C142" s="80">
        <v>46155</v>
      </c>
      <c r="D142" s="18">
        <v>2.9166666666666667E-2</v>
      </c>
      <c r="E142" s="80">
        <v>46155</v>
      </c>
      <c r="F142" s="18">
        <v>0.12569444444444444</v>
      </c>
      <c r="G142" s="80">
        <v>46155</v>
      </c>
      <c r="H142" s="74">
        <v>0.71319444444444446</v>
      </c>
      <c r="I142" s="80">
        <v>46155</v>
      </c>
      <c r="J142" s="18">
        <v>0.73958333333333337</v>
      </c>
      <c r="M142" s="67">
        <f t="shared" si="153"/>
        <v>9.6527777779556345E-2</v>
      </c>
      <c r="N142" s="67">
        <f t="shared" si="154"/>
        <v>0.58749999999417923</v>
      </c>
      <c r="O142" s="67">
        <f t="shared" si="155"/>
        <v>2.6388888894871343E-2</v>
      </c>
      <c r="P142" s="67">
        <f t="shared" si="156"/>
        <v>0.10694444444379769</v>
      </c>
      <c r="S142" s="34">
        <f t="shared" ref="S142:S158" si="158">1440*M142</f>
        <v>139.00000000256114</v>
      </c>
      <c r="T142" s="34">
        <f t="shared" ref="T142:T158" si="159">1440*N142</f>
        <v>845.9999999916181</v>
      </c>
      <c r="U142" s="34">
        <f t="shared" ref="U142:U158" si="160">1440*O142</f>
        <v>38.000000008614734</v>
      </c>
      <c r="V142" s="34">
        <f t="shared" si="150"/>
        <v>153.99999999906868</v>
      </c>
      <c r="Z142" s="65">
        <f>(Z141/Y141)*100</f>
        <v>12.436363636516035</v>
      </c>
      <c r="AA142" s="68">
        <f>(AA141/Y141)*100</f>
        <v>50.954545454238541</v>
      </c>
      <c r="AB142" s="65">
        <f>(AB141/Y141)*100</f>
        <v>3.8363636362959039</v>
      </c>
      <c r="AC142" s="66">
        <f>(AC141/Y141)*100</f>
        <v>12.681818181913432</v>
      </c>
    </row>
    <row r="143" spans="1:29">
      <c r="A143" s="101" t="s">
        <v>34</v>
      </c>
      <c r="B143" s="59" t="s">
        <v>454</v>
      </c>
      <c r="C143" s="80">
        <v>46155</v>
      </c>
      <c r="D143" s="18">
        <v>0.84652777777777777</v>
      </c>
      <c r="E143" s="80">
        <v>46155</v>
      </c>
      <c r="F143" s="18">
        <v>0.95694444444444449</v>
      </c>
      <c r="G143" s="80">
        <v>46156</v>
      </c>
      <c r="H143" s="18">
        <v>0.29722222222222222</v>
      </c>
      <c r="I143" s="80">
        <v>46156</v>
      </c>
      <c r="J143" s="18">
        <v>0.34722222222222221</v>
      </c>
      <c r="M143" s="103">
        <f t="shared" si="153"/>
        <v>0.11041666666278616</v>
      </c>
      <c r="N143" s="103">
        <f t="shared" si="154"/>
        <v>0.34027777778101154</v>
      </c>
      <c r="O143" s="103">
        <f t="shared" si="155"/>
        <v>4.9999999995634425E-2</v>
      </c>
      <c r="P143" s="103">
        <f t="shared" si="156"/>
        <v>9.8611111112404615E-2</v>
      </c>
      <c r="S143" s="34">
        <f t="shared" si="158"/>
        <v>158.99999999441206</v>
      </c>
      <c r="T143" s="34">
        <f t="shared" si="159"/>
        <v>490.00000000465661</v>
      </c>
      <c r="U143" s="34">
        <f t="shared" si="160"/>
        <v>71.999999993713573</v>
      </c>
      <c r="V143" s="34">
        <f t="shared" ref="V143:V158" si="161">1440*P143</f>
        <v>142.00000000186265</v>
      </c>
    </row>
    <row r="144" spans="1:29">
      <c r="A144" s="101" t="s">
        <v>34</v>
      </c>
      <c r="B144" s="59" t="s">
        <v>454</v>
      </c>
      <c r="C144" s="80">
        <v>46156</v>
      </c>
      <c r="D144" s="18">
        <v>0.44583333333333336</v>
      </c>
      <c r="E144" s="80">
        <v>46156</v>
      </c>
      <c r="F144" s="18">
        <v>0.62152777777777779</v>
      </c>
      <c r="G144" s="80">
        <v>46156</v>
      </c>
      <c r="H144" s="18">
        <v>0.69444444444444442</v>
      </c>
      <c r="I144" s="80">
        <v>46156</v>
      </c>
      <c r="J144" s="18">
        <v>0.74583333333333335</v>
      </c>
      <c r="M144" s="67">
        <f t="shared" si="153"/>
        <v>0.17569444444961846</v>
      </c>
      <c r="N144" s="67">
        <f t="shared" si="154"/>
        <v>7.2916666664241347E-2</v>
      </c>
      <c r="O144" s="67">
        <f t="shared" si="155"/>
        <v>5.1388888889050577E-2</v>
      </c>
      <c r="P144" s="67">
        <f t="shared" si="156"/>
        <v>3.6111111112404615E-2</v>
      </c>
      <c r="S144" s="34">
        <f t="shared" si="158"/>
        <v>253.00000000745058</v>
      </c>
      <c r="T144" s="34">
        <f t="shared" si="159"/>
        <v>104.99999999650754</v>
      </c>
      <c r="U144" s="34">
        <f t="shared" si="160"/>
        <v>74.000000000232831</v>
      </c>
      <c r="V144" s="34">
        <f t="shared" si="161"/>
        <v>52.000000001862645</v>
      </c>
    </row>
    <row r="145" spans="1:29">
      <c r="A145" s="101" t="s">
        <v>34</v>
      </c>
      <c r="B145" s="59" t="s">
        <v>454</v>
      </c>
      <c r="C145" s="80">
        <v>46156</v>
      </c>
      <c r="D145" s="18">
        <v>0.78194444444444444</v>
      </c>
      <c r="E145" s="80">
        <v>46156</v>
      </c>
      <c r="F145" s="18">
        <v>0.90277777777777779</v>
      </c>
      <c r="G145" s="80">
        <v>46157</v>
      </c>
      <c r="H145" s="18">
        <v>0.41736111111111113</v>
      </c>
      <c r="I145" s="80">
        <v>46157</v>
      </c>
      <c r="J145" s="18">
        <v>0.4465277777777778</v>
      </c>
      <c r="M145" s="103">
        <f t="shared" si="153"/>
        <v>0.12083333333430346</v>
      </c>
      <c r="N145" s="103">
        <f t="shared" si="154"/>
        <v>0.51458333332993789</v>
      </c>
      <c r="O145" s="103">
        <f t="shared" si="155"/>
        <v>2.9166666667151731E-2</v>
      </c>
      <c r="P145" s="103">
        <f t="shared" si="156"/>
        <v>0.11736111110803904</v>
      </c>
      <c r="S145" s="34">
        <f t="shared" si="158"/>
        <v>174.00000000139698</v>
      </c>
      <c r="T145" s="34">
        <f t="shared" si="159"/>
        <v>740.99999999511056</v>
      </c>
      <c r="U145" s="34">
        <f t="shared" si="160"/>
        <v>42.000000000698492</v>
      </c>
      <c r="V145" s="34">
        <f t="shared" si="161"/>
        <v>168.99999999557622</v>
      </c>
    </row>
    <row r="146" spans="1:29">
      <c r="A146" s="101" t="s">
        <v>34</v>
      </c>
      <c r="B146" s="59" t="s">
        <v>454</v>
      </c>
      <c r="C146" s="80">
        <v>46157</v>
      </c>
      <c r="D146" s="18">
        <v>0.56388888888888888</v>
      </c>
      <c r="E146" s="80">
        <v>46157</v>
      </c>
      <c r="F146" s="18">
        <v>0.69305555555555554</v>
      </c>
      <c r="G146" s="80">
        <v>46157</v>
      </c>
      <c r="H146" s="18">
        <v>0.98819444444444449</v>
      </c>
      <c r="I146" s="80">
        <v>46158</v>
      </c>
      <c r="J146" s="18">
        <v>2.5694444444444443E-2</v>
      </c>
      <c r="M146" s="67">
        <f t="shared" si="153"/>
        <v>0.1291666666729725</v>
      </c>
      <c r="N146" s="67">
        <f t="shared" si="154"/>
        <v>0.29513888888322981</v>
      </c>
      <c r="O146" s="67">
        <f t="shared" si="155"/>
        <v>3.7499999998544808E-2</v>
      </c>
      <c r="P146" s="67">
        <f t="shared" si="156"/>
        <v>8.5416666668606922E-2</v>
      </c>
      <c r="S146" s="34">
        <f t="shared" si="158"/>
        <v>186.0000000090804</v>
      </c>
      <c r="T146" s="34">
        <f t="shared" si="159"/>
        <v>424.99999999185093</v>
      </c>
      <c r="U146" s="34">
        <f t="shared" si="160"/>
        <v>53.999999997904524</v>
      </c>
      <c r="V146" s="34">
        <f t="shared" si="161"/>
        <v>123.00000000279397</v>
      </c>
    </row>
    <row r="147" spans="1:29">
      <c r="A147" s="101" t="s">
        <v>34</v>
      </c>
      <c r="B147" s="59" t="s">
        <v>454</v>
      </c>
      <c r="C147" s="80">
        <v>46158</v>
      </c>
      <c r="D147" s="18">
        <v>0.1111111111111111</v>
      </c>
      <c r="E147" s="80">
        <v>46158</v>
      </c>
      <c r="F147" s="18">
        <v>0.22361111111111112</v>
      </c>
      <c r="G147" s="80">
        <v>46158</v>
      </c>
      <c r="H147" s="18">
        <v>0.72777777777777775</v>
      </c>
      <c r="I147" s="80">
        <v>46158</v>
      </c>
      <c r="J147" s="18">
        <v>0.7631944444444444</v>
      </c>
      <c r="M147" s="103">
        <f>(E147+F147)-(C147+D147)</f>
        <v>0.11250000000291038</v>
      </c>
      <c r="N147" s="103">
        <f t="shared" si="154"/>
        <v>0.50416666666569654</v>
      </c>
      <c r="O147" s="103">
        <f t="shared" si="155"/>
        <v>3.5416666665696539E-2</v>
      </c>
      <c r="P147" s="103">
        <f t="shared" si="156"/>
        <v>7.013888889196096E-2</v>
      </c>
      <c r="S147" s="34">
        <f t="shared" si="158"/>
        <v>162.00000000419095</v>
      </c>
      <c r="T147" s="34">
        <f t="shared" si="159"/>
        <v>725.99999999860302</v>
      </c>
      <c r="U147" s="34">
        <f t="shared" si="160"/>
        <v>50.999999998603016</v>
      </c>
      <c r="V147" s="34">
        <f t="shared" si="161"/>
        <v>101.00000000442378</v>
      </c>
    </row>
    <row r="148" spans="1:29" ht="15.75" thickBot="1">
      <c r="A148" s="102" t="s">
        <v>34</v>
      </c>
      <c r="B148" s="51" t="s">
        <v>454</v>
      </c>
      <c r="C148" s="45">
        <v>46158</v>
      </c>
      <c r="D148" s="46">
        <v>0.83333333333333337</v>
      </c>
      <c r="E148" s="45">
        <v>46158</v>
      </c>
      <c r="F148" s="46">
        <v>0.94652777777777775</v>
      </c>
      <c r="G148" s="45">
        <v>46159</v>
      </c>
      <c r="H148" s="46">
        <v>0.44583333333333336</v>
      </c>
      <c r="I148" s="45">
        <v>46159</v>
      </c>
      <c r="J148" s="46">
        <v>0.47916666666666669</v>
      </c>
      <c r="M148" s="41">
        <f t="shared" si="153"/>
        <v>0.1131944444423425</v>
      </c>
      <c r="N148" s="41">
        <f>(G148+H148)-(E148+F148)</f>
        <v>0.49930555555329192</v>
      </c>
      <c r="O148" s="41">
        <f>(I148+J148)-(G148+H148)</f>
        <v>3.3333333332848269E-2</v>
      </c>
      <c r="P148" s="41">
        <f>(C149+D149)-(I148+J148)</f>
        <v>8.0555555556202307E-2</v>
      </c>
      <c r="S148" s="90">
        <f t="shared" si="158"/>
        <v>162.9999999969732</v>
      </c>
      <c r="T148" s="90">
        <f>1440*N148</f>
        <v>718.99999999674037</v>
      </c>
      <c r="U148" s="90">
        <f t="shared" si="160"/>
        <v>47.999999999301508</v>
      </c>
      <c r="V148" s="90">
        <f>1440*P148</f>
        <v>116.00000000093132</v>
      </c>
    </row>
    <row r="149" spans="1:29" ht="15.75" thickBot="1">
      <c r="A149" s="101" t="s">
        <v>35</v>
      </c>
      <c r="B149" s="59" t="s">
        <v>470</v>
      </c>
      <c r="C149" s="80">
        <v>46159</v>
      </c>
      <c r="D149" s="74">
        <v>0.55972222222222223</v>
      </c>
      <c r="E149" s="80">
        <v>46159</v>
      </c>
      <c r="F149" s="74">
        <v>0.66180555555555554</v>
      </c>
      <c r="G149" s="80">
        <v>46160</v>
      </c>
      <c r="H149" s="74">
        <v>0.24444444444444444</v>
      </c>
      <c r="I149" s="80">
        <v>46160</v>
      </c>
      <c r="J149" s="74">
        <v>0.28333333333333333</v>
      </c>
      <c r="M149" s="67">
        <f t="shared" si="153"/>
        <v>0.10208333333866904</v>
      </c>
      <c r="N149" s="67">
        <f t="shared" si="154"/>
        <v>0.58263888888177462</v>
      </c>
      <c r="O149" s="67">
        <f t="shared" si="155"/>
        <v>3.888888889196096E-2</v>
      </c>
      <c r="P149" s="67">
        <f>(C150+D150)-(I149+J149)</f>
        <v>0.11736111110803904</v>
      </c>
      <c r="S149" s="62">
        <f t="shared" si="158"/>
        <v>147.00000000768341</v>
      </c>
      <c r="T149" s="62">
        <f t="shared" si="159"/>
        <v>838.99999998975545</v>
      </c>
      <c r="U149" s="62">
        <f t="shared" si="160"/>
        <v>56.000000004423782</v>
      </c>
      <c r="V149" s="62">
        <f t="shared" si="161"/>
        <v>168.99999999557622</v>
      </c>
      <c r="X149" s="61" t="s">
        <v>86</v>
      </c>
      <c r="Y149" s="61">
        <v>10800</v>
      </c>
      <c r="Z149" s="63">
        <f>SUM(S149:S157)</f>
        <v>1557.000000004191</v>
      </c>
      <c r="AA149" s="63">
        <f>SUM(T149:T157)</f>
        <v>5559.9999999871943</v>
      </c>
      <c r="AB149" s="63">
        <f t="shared" ref="AB149:AC149" si="162">SUM(U149:U157)</f>
        <v>458.00000003655441</v>
      </c>
      <c r="AC149" s="63">
        <f t="shared" si="162"/>
        <v>2180.9999999741558</v>
      </c>
    </row>
    <row r="150" spans="1:29" ht="15.75" thickBot="1">
      <c r="A150" s="101" t="s">
        <v>35</v>
      </c>
      <c r="B150" s="59" t="s">
        <v>470</v>
      </c>
      <c r="C150" s="80">
        <v>46160</v>
      </c>
      <c r="D150" s="18">
        <v>0.40069444444444446</v>
      </c>
      <c r="E150" s="80">
        <v>46160</v>
      </c>
      <c r="F150" s="18">
        <v>0.50694444444444442</v>
      </c>
      <c r="G150" s="80">
        <v>46160</v>
      </c>
      <c r="H150" s="18">
        <v>0.8125</v>
      </c>
      <c r="I150" s="80">
        <v>46160</v>
      </c>
      <c r="J150" s="18">
        <v>0.86250000000000004</v>
      </c>
      <c r="M150" s="67">
        <f t="shared" si="153"/>
        <v>0.10625000000436557</v>
      </c>
      <c r="N150" s="67">
        <f t="shared" si="154"/>
        <v>0.30555555555474712</v>
      </c>
      <c r="O150" s="67">
        <f t="shared" si="155"/>
        <v>5.0000000002910383E-2</v>
      </c>
      <c r="P150" s="67">
        <f t="shared" si="156"/>
        <v>0.30902777777373558</v>
      </c>
      <c r="S150" s="34">
        <f t="shared" si="158"/>
        <v>153.00000000628643</v>
      </c>
      <c r="T150" s="34">
        <f t="shared" si="159"/>
        <v>439.99999999883585</v>
      </c>
      <c r="U150" s="34">
        <f t="shared" si="160"/>
        <v>72.000000004190952</v>
      </c>
      <c r="V150" s="34">
        <f t="shared" si="161"/>
        <v>444.99999999417923</v>
      </c>
      <c r="Z150" s="65">
        <f>(Z149/Y149)*100</f>
        <v>14.416666666705472</v>
      </c>
      <c r="AA150" s="68">
        <f>(AA149/Y149)*100</f>
        <v>51.481481481362913</v>
      </c>
      <c r="AB150" s="65">
        <f>(AB149/Y149)*100</f>
        <v>4.2407407410792075</v>
      </c>
      <c r="AC150" s="66">
        <f>(AC149/Y149)*100</f>
        <v>20.194444444205146</v>
      </c>
    </row>
    <row r="151" spans="1:29">
      <c r="A151" s="101" t="s">
        <v>35</v>
      </c>
      <c r="B151" s="59" t="s">
        <v>470</v>
      </c>
      <c r="C151" s="80">
        <v>46161</v>
      </c>
      <c r="D151" s="18">
        <v>0.17152777777777778</v>
      </c>
      <c r="E151" s="80">
        <v>46161</v>
      </c>
      <c r="F151" s="18">
        <v>0.29305555555555557</v>
      </c>
      <c r="G151" s="80">
        <v>46161</v>
      </c>
      <c r="H151" s="18">
        <v>0.43888888888888888</v>
      </c>
      <c r="I151" s="80">
        <v>46161</v>
      </c>
      <c r="J151" s="18">
        <v>0.46041666666666664</v>
      </c>
      <c r="M151" s="103">
        <f t="shared" si="153"/>
        <v>0.12152777778101154</v>
      </c>
      <c r="N151" s="103">
        <f t="shared" si="154"/>
        <v>0.14583333332848269</v>
      </c>
      <c r="O151" s="103">
        <f t="shared" si="155"/>
        <v>2.1527777782466728E-2</v>
      </c>
      <c r="P151" s="103">
        <f t="shared" si="156"/>
        <v>0.2069444444423425</v>
      </c>
      <c r="S151" s="34">
        <f t="shared" si="158"/>
        <v>175.00000000465661</v>
      </c>
      <c r="T151" s="34">
        <f t="shared" si="159"/>
        <v>209.99999999301508</v>
      </c>
      <c r="U151" s="34">
        <f t="shared" si="160"/>
        <v>31.000000006752089</v>
      </c>
      <c r="V151" s="34">
        <f t="shared" si="161"/>
        <v>297.9999999969732</v>
      </c>
    </row>
    <row r="152" spans="1:29">
      <c r="A152" s="101" t="s">
        <v>35</v>
      </c>
      <c r="B152" s="59" t="s">
        <v>470</v>
      </c>
      <c r="C152" s="80">
        <v>46161</v>
      </c>
      <c r="D152" s="18">
        <v>0.66736111111111107</v>
      </c>
      <c r="E152" s="80">
        <v>46161</v>
      </c>
      <c r="F152" s="18">
        <v>0.79652777777777772</v>
      </c>
      <c r="G152" s="80">
        <v>46162</v>
      </c>
      <c r="H152" s="18">
        <v>0.37847222222222221</v>
      </c>
      <c r="I152" s="80">
        <v>46162</v>
      </c>
      <c r="J152" s="18">
        <v>0.41805555555555557</v>
      </c>
      <c r="M152" s="67">
        <f t="shared" si="153"/>
        <v>0.12916666666569654</v>
      </c>
      <c r="N152" s="67">
        <f t="shared" si="154"/>
        <v>0.5819444444423425</v>
      </c>
      <c r="O152" s="67">
        <f t="shared" si="155"/>
        <v>3.9583333338669036E-2</v>
      </c>
      <c r="P152" s="67">
        <f t="shared" si="156"/>
        <v>5.7638888887595385E-2</v>
      </c>
      <c r="S152" s="34">
        <f t="shared" si="158"/>
        <v>185.99999999860302</v>
      </c>
      <c r="T152" s="34">
        <f t="shared" si="159"/>
        <v>837.9999999969732</v>
      </c>
      <c r="U152" s="34">
        <f t="shared" si="160"/>
        <v>57.000000007683411</v>
      </c>
      <c r="V152" s="34">
        <f t="shared" si="161"/>
        <v>82.999999998137355</v>
      </c>
    </row>
    <row r="153" spans="1:29">
      <c r="A153" s="101" t="s">
        <v>35</v>
      </c>
      <c r="B153" s="59" t="s">
        <v>470</v>
      </c>
      <c r="C153" s="80">
        <v>46162</v>
      </c>
      <c r="D153" s="18">
        <v>0.47569444444444442</v>
      </c>
      <c r="E153" s="80">
        <v>46162</v>
      </c>
      <c r="F153" s="18">
        <v>0.61805555555555558</v>
      </c>
      <c r="G153" s="80">
        <v>46163</v>
      </c>
      <c r="H153" s="18">
        <v>0.11388888888888889</v>
      </c>
      <c r="I153" s="80">
        <v>46163</v>
      </c>
      <c r="J153" s="18">
        <v>0.16180555555555556</v>
      </c>
      <c r="M153" s="103">
        <f t="shared" si="153"/>
        <v>0.14236111110949423</v>
      </c>
      <c r="N153" s="103">
        <f t="shared" si="154"/>
        <v>0.49583333333430346</v>
      </c>
      <c r="O153" s="103">
        <f t="shared" si="155"/>
        <v>4.7916666670062114E-2</v>
      </c>
      <c r="P153" s="103">
        <f t="shared" si="156"/>
        <v>5.9027777773735579E-2</v>
      </c>
      <c r="S153" s="34">
        <f t="shared" si="158"/>
        <v>204.99999999767169</v>
      </c>
      <c r="T153" s="34">
        <f t="shared" si="159"/>
        <v>714.00000000139698</v>
      </c>
      <c r="U153" s="34">
        <f t="shared" si="160"/>
        <v>69.000000004889444</v>
      </c>
      <c r="V153" s="34">
        <f t="shared" si="161"/>
        <v>84.999999994179234</v>
      </c>
    </row>
    <row r="154" spans="1:29">
      <c r="A154" s="101" t="s">
        <v>35</v>
      </c>
      <c r="B154" s="59" t="s">
        <v>470</v>
      </c>
      <c r="C154" s="80">
        <v>46163</v>
      </c>
      <c r="D154" s="18">
        <v>0.22083333333333333</v>
      </c>
      <c r="E154" s="80">
        <v>46163</v>
      </c>
      <c r="F154" s="18">
        <v>0.35833333333333334</v>
      </c>
      <c r="G154" s="80">
        <v>46163</v>
      </c>
      <c r="H154" s="18">
        <v>0.8256944444444444</v>
      </c>
      <c r="I154" s="80">
        <v>46163</v>
      </c>
      <c r="J154" s="18">
        <v>0.85555555555555551</v>
      </c>
      <c r="M154" s="67">
        <f t="shared" si="153"/>
        <v>0.13749999999708962</v>
      </c>
      <c r="N154" s="67">
        <f t="shared" si="154"/>
        <v>0.46736111111385981</v>
      </c>
      <c r="O154" s="67">
        <f t="shared" si="155"/>
        <v>2.9861111113859806E-2</v>
      </c>
      <c r="P154" s="67">
        <f t="shared" si="156"/>
        <v>0.18888888888614019</v>
      </c>
      <c r="S154" s="34">
        <f t="shared" si="158"/>
        <v>197.99999999580905</v>
      </c>
      <c r="T154" s="34">
        <f t="shared" si="159"/>
        <v>673.00000000395812</v>
      </c>
      <c r="U154" s="34">
        <f t="shared" si="160"/>
        <v>43.000000003958121</v>
      </c>
      <c r="V154" s="34">
        <f t="shared" si="161"/>
        <v>271.99999999604188</v>
      </c>
    </row>
    <row r="155" spans="1:29">
      <c r="A155" s="101" t="s">
        <v>35</v>
      </c>
      <c r="B155" s="59" t="s">
        <v>470</v>
      </c>
      <c r="C155" s="80">
        <v>46164</v>
      </c>
      <c r="D155" s="18">
        <v>4.4444444444444446E-2</v>
      </c>
      <c r="E155" s="80">
        <v>46164</v>
      </c>
      <c r="F155" s="18">
        <v>0.15833333333333333</v>
      </c>
      <c r="G155" s="80">
        <v>46164</v>
      </c>
      <c r="H155" s="18">
        <v>0.32430555555555557</v>
      </c>
      <c r="I155" s="80">
        <v>46164</v>
      </c>
      <c r="J155" s="18">
        <v>0.34236111111111112</v>
      </c>
      <c r="M155" s="103">
        <f t="shared" si="153"/>
        <v>0.11388888888905058</v>
      </c>
      <c r="N155" s="103">
        <f t="shared" si="154"/>
        <v>0.16597222222480923</v>
      </c>
      <c r="O155" s="103">
        <f t="shared" si="155"/>
        <v>1.8055555556202307E-2</v>
      </c>
      <c r="P155" s="103">
        <f t="shared" si="156"/>
        <v>0.4256944444423425</v>
      </c>
      <c r="S155" s="34">
        <f t="shared" si="158"/>
        <v>164.00000000023283</v>
      </c>
      <c r="T155" s="34">
        <f t="shared" si="159"/>
        <v>239.00000000372529</v>
      </c>
      <c r="U155" s="34">
        <f t="shared" si="160"/>
        <v>26.000000000931323</v>
      </c>
      <c r="V155" s="34">
        <f t="shared" si="161"/>
        <v>612.9999999969732</v>
      </c>
    </row>
    <row r="156" spans="1:29">
      <c r="A156" s="101" t="s">
        <v>35</v>
      </c>
      <c r="B156" s="59" t="s">
        <v>470</v>
      </c>
      <c r="C156" s="80">
        <v>46164</v>
      </c>
      <c r="D156" s="18">
        <v>0.7680555555555556</v>
      </c>
      <c r="E156" s="80">
        <v>46164</v>
      </c>
      <c r="F156" s="18">
        <v>0.86527777777777781</v>
      </c>
      <c r="G156" s="80">
        <v>46165</v>
      </c>
      <c r="H156" s="18">
        <v>0.40763888888888888</v>
      </c>
      <c r="I156" s="80">
        <v>46165</v>
      </c>
      <c r="J156" s="18">
        <v>0.44166666666666665</v>
      </c>
      <c r="M156" s="67">
        <f>(E156+F156)-(C156+D156)</f>
        <v>9.7222222218988463E-2</v>
      </c>
      <c r="N156" s="67">
        <f t="shared" si="154"/>
        <v>0.54236111111094942</v>
      </c>
      <c r="O156" s="67">
        <f t="shared" si="155"/>
        <v>3.4027777779556345E-2</v>
      </c>
      <c r="P156" s="67">
        <f t="shared" si="156"/>
        <v>7.7083333337213844E-2</v>
      </c>
      <c r="S156" s="34">
        <f t="shared" si="158"/>
        <v>139.99999999534339</v>
      </c>
      <c r="T156" s="34">
        <f t="shared" si="159"/>
        <v>780.99999999976717</v>
      </c>
      <c r="U156" s="34">
        <f t="shared" si="160"/>
        <v>49.000000002561137</v>
      </c>
      <c r="V156" s="34">
        <f t="shared" si="161"/>
        <v>111.00000000558794</v>
      </c>
    </row>
    <row r="157" spans="1:29" ht="15.75" thickBot="1">
      <c r="A157" s="102" t="s">
        <v>35</v>
      </c>
      <c r="B157" s="51" t="s">
        <v>470</v>
      </c>
      <c r="C157" s="45">
        <v>46165</v>
      </c>
      <c r="D157" s="46">
        <v>0.51875000000000004</v>
      </c>
      <c r="E157" s="45">
        <v>46165</v>
      </c>
      <c r="F157" s="46">
        <v>0.65</v>
      </c>
      <c r="G157" s="45">
        <v>46166</v>
      </c>
      <c r="H157" s="46">
        <v>0.22361111111111112</v>
      </c>
      <c r="I157" s="45">
        <v>46166</v>
      </c>
      <c r="J157" s="46">
        <v>0.26180555555555557</v>
      </c>
      <c r="M157" s="41">
        <f t="shared" si="153"/>
        <v>0.13124999999854481</v>
      </c>
      <c r="N157" s="41">
        <f>(G157+H157)-(E157+F157)</f>
        <v>0.57361111111094942</v>
      </c>
      <c r="O157" s="41">
        <f t="shared" si="155"/>
        <v>3.8194444445252884E-2</v>
      </c>
      <c r="P157" s="41">
        <f t="shared" si="156"/>
        <v>7.2916666664241347E-2</v>
      </c>
      <c r="S157" s="90">
        <f t="shared" si="158"/>
        <v>188.99999999790452</v>
      </c>
      <c r="T157" s="90">
        <f t="shared" si="159"/>
        <v>825.99999999976717</v>
      </c>
      <c r="U157" s="90">
        <f t="shared" si="160"/>
        <v>55.000000001164153</v>
      </c>
      <c r="V157" s="90">
        <f t="shared" si="161"/>
        <v>104.99999999650754</v>
      </c>
    </row>
    <row r="158" spans="1:29" ht="15.75" thickBot="1">
      <c r="A158" s="101" t="s">
        <v>36</v>
      </c>
      <c r="B158" s="59" t="s">
        <v>494</v>
      </c>
      <c r="C158" s="80">
        <v>46166</v>
      </c>
      <c r="D158" s="74">
        <v>0.3347222222222222</v>
      </c>
      <c r="E158" s="80">
        <v>46166</v>
      </c>
      <c r="F158" s="74">
        <v>0.45902777777777776</v>
      </c>
      <c r="G158" s="80">
        <v>46167</v>
      </c>
      <c r="H158" s="74">
        <v>1.5972222222222221E-2</v>
      </c>
      <c r="I158" s="80">
        <v>46167</v>
      </c>
      <c r="J158" s="74">
        <v>5.4166666666666669E-2</v>
      </c>
      <c r="M158" s="67">
        <f t="shared" si="153"/>
        <v>0.12430555555329192</v>
      </c>
      <c r="N158" s="67">
        <f t="shared" si="154"/>
        <v>0.55694444444816327</v>
      </c>
      <c r="O158" s="67">
        <f t="shared" si="155"/>
        <v>3.8194444445252884E-2</v>
      </c>
      <c r="P158" s="67">
        <f t="shared" si="156"/>
        <v>1.5131944444437977</v>
      </c>
      <c r="S158" s="62">
        <f t="shared" si="158"/>
        <v>178.99999999674037</v>
      </c>
      <c r="T158" s="62">
        <f t="shared" si="159"/>
        <v>802.0000000053551</v>
      </c>
      <c r="U158" s="62">
        <f t="shared" si="160"/>
        <v>55.000000001164153</v>
      </c>
      <c r="V158" s="62">
        <f t="shared" si="161"/>
        <v>2178.9999999990687</v>
      </c>
      <c r="X158" s="61" t="s">
        <v>86</v>
      </c>
      <c r="Y158" s="61">
        <v>10800</v>
      </c>
      <c r="Z158" s="63">
        <f>SUM(S158:S164)</f>
        <v>1606.9999999995343</v>
      </c>
      <c r="AA158" s="63">
        <f>SUM(T158:T164)</f>
        <v>4720.0000000046566</v>
      </c>
      <c r="AB158" s="63">
        <f>SUM(U158:U164)</f>
        <v>367.99999998416752</v>
      </c>
      <c r="AC158" s="63">
        <f>SUM(V158:V164)</f>
        <v>4743.0000000167638</v>
      </c>
    </row>
    <row r="159" spans="1:29" ht="15.75" thickBot="1">
      <c r="A159" s="101" t="s">
        <v>36</v>
      </c>
      <c r="B159" s="59" t="s">
        <v>494</v>
      </c>
      <c r="C159" s="80">
        <v>46168</v>
      </c>
      <c r="D159" s="18">
        <v>0.56736111111111109</v>
      </c>
      <c r="E159" s="80">
        <v>46168</v>
      </c>
      <c r="F159" s="18">
        <v>0.8125</v>
      </c>
      <c r="G159" s="80">
        <v>46169</v>
      </c>
      <c r="H159" s="18">
        <v>0.27569444444444446</v>
      </c>
      <c r="I159" s="80">
        <v>46169</v>
      </c>
      <c r="J159" s="18">
        <v>0.30972222222222223</v>
      </c>
      <c r="M159" s="67">
        <f t="shared" ref="M159:M170" si="163">(E159+F159)-(C159+D159)</f>
        <v>0.24513888888759539</v>
      </c>
      <c r="N159" s="67">
        <f t="shared" ref="N159:N170" si="164">(G159+H159)-(E159+F159)</f>
        <v>0.46319444444088731</v>
      </c>
      <c r="O159" s="67">
        <f t="shared" ref="O159:O171" si="165">(I159+J159)-(G159+H159)</f>
        <v>3.4027777779556345E-2</v>
      </c>
      <c r="P159" s="67">
        <f t="shared" ref="P159:P171" si="166">(C160+D160)-(I159+J159)</f>
        <v>0.179861111115315</v>
      </c>
      <c r="S159" s="62">
        <f t="shared" ref="S159:S171" si="167">1440*M159</f>
        <v>352.99999999813735</v>
      </c>
      <c r="T159" s="62">
        <f t="shared" ref="T159:T171" si="168">1440*N159</f>
        <v>666.99999999487773</v>
      </c>
      <c r="U159" s="62">
        <f t="shared" ref="U159:U171" si="169">1440*O159</f>
        <v>49.000000002561137</v>
      </c>
      <c r="V159" s="62">
        <f t="shared" ref="V159:V171" si="170">1440*P159</f>
        <v>259.0000000060536</v>
      </c>
      <c r="Z159" s="65">
        <f>(Z158/Y158)*100</f>
        <v>14.879629629625319</v>
      </c>
      <c r="AA159" s="68">
        <f>(AA158/Y158)*100</f>
        <v>43.703703703746818</v>
      </c>
      <c r="AB159" s="65">
        <f>(AB158/Y158)*100</f>
        <v>3.4074074072608105</v>
      </c>
      <c r="AC159" s="66">
        <f>(AC158/Y158)*100</f>
        <v>43.916666666821882</v>
      </c>
    </row>
    <row r="160" spans="1:29">
      <c r="A160" s="101" t="s">
        <v>36</v>
      </c>
      <c r="B160" s="59" t="s">
        <v>494</v>
      </c>
      <c r="C160" s="80">
        <v>46169</v>
      </c>
      <c r="D160" s="18">
        <v>0.48958333333333331</v>
      </c>
      <c r="E160" s="80">
        <v>46169</v>
      </c>
      <c r="F160" s="18">
        <v>0.65347222222222223</v>
      </c>
      <c r="G160" s="80">
        <v>46169</v>
      </c>
      <c r="H160" s="18">
        <v>0.97847222222222219</v>
      </c>
      <c r="I160" s="80">
        <v>46170</v>
      </c>
      <c r="J160" s="18">
        <v>1.0416666666666666E-2</v>
      </c>
      <c r="M160" s="67">
        <f t="shared" si="163"/>
        <v>0.163888888884685</v>
      </c>
      <c r="N160" s="67">
        <f t="shared" si="164"/>
        <v>0.32500000000436557</v>
      </c>
      <c r="O160" s="67">
        <f t="shared" si="165"/>
        <v>3.1944444439432118E-2</v>
      </c>
      <c r="P160" s="67">
        <f t="shared" si="166"/>
        <v>0.71041666666860692</v>
      </c>
      <c r="S160" s="62">
        <f t="shared" si="167"/>
        <v>235.9999999939464</v>
      </c>
      <c r="T160" s="62">
        <f t="shared" si="168"/>
        <v>468.00000000628643</v>
      </c>
      <c r="U160" s="62">
        <f t="shared" si="169"/>
        <v>45.99999999278225</v>
      </c>
      <c r="V160" s="62">
        <f t="shared" si="170"/>
        <v>1023.000000002794</v>
      </c>
    </row>
    <row r="161" spans="1:29">
      <c r="A161" s="101" t="s">
        <v>36</v>
      </c>
      <c r="B161" s="59" t="s">
        <v>494</v>
      </c>
      <c r="C161" s="80">
        <v>46170</v>
      </c>
      <c r="D161" s="18">
        <v>0.72083333333333333</v>
      </c>
      <c r="E161" s="80">
        <v>46170</v>
      </c>
      <c r="F161" s="18">
        <v>0.94930555555555551</v>
      </c>
      <c r="G161" s="80">
        <v>46171</v>
      </c>
      <c r="H161" s="18">
        <v>0.38194444444444442</v>
      </c>
      <c r="I161" s="80">
        <v>46171</v>
      </c>
      <c r="J161" s="18">
        <v>0.42777777777777776</v>
      </c>
      <c r="M161" s="67">
        <f t="shared" si="163"/>
        <v>0.22847222222480923</v>
      </c>
      <c r="N161" s="67">
        <f t="shared" si="164"/>
        <v>0.43263888888759539</v>
      </c>
      <c r="O161" s="67">
        <f t="shared" si="165"/>
        <v>4.5833333329937886E-2</v>
      </c>
      <c r="P161" s="67">
        <f t="shared" si="166"/>
        <v>0.52916666666715173</v>
      </c>
      <c r="S161" s="62">
        <f t="shared" si="167"/>
        <v>329.00000000372529</v>
      </c>
      <c r="T161" s="62">
        <f t="shared" si="168"/>
        <v>622.99999999813735</v>
      </c>
      <c r="U161" s="62">
        <f t="shared" si="169"/>
        <v>65.999999995110556</v>
      </c>
      <c r="V161" s="62">
        <f t="shared" si="170"/>
        <v>762.00000000069849</v>
      </c>
    </row>
    <row r="162" spans="1:29">
      <c r="A162" s="101" t="s">
        <v>36</v>
      </c>
      <c r="B162" s="59" t="s">
        <v>494</v>
      </c>
      <c r="C162" s="80">
        <v>46171</v>
      </c>
      <c r="D162" s="18">
        <v>0.95694444444444449</v>
      </c>
      <c r="E162" s="80">
        <v>46172</v>
      </c>
      <c r="F162" s="18">
        <v>3.888888888888889E-2</v>
      </c>
      <c r="G162" s="80">
        <v>46172</v>
      </c>
      <c r="H162" s="18">
        <v>0.47847222222222224</v>
      </c>
      <c r="I162" s="80">
        <v>46172</v>
      </c>
      <c r="J162" s="18">
        <v>0.53125</v>
      </c>
      <c r="M162" s="67">
        <f t="shared" si="163"/>
        <v>8.1944444449618459E-2</v>
      </c>
      <c r="N162" s="67">
        <f t="shared" si="164"/>
        <v>0.43958333333284827</v>
      </c>
      <c r="O162" s="67">
        <f t="shared" si="165"/>
        <v>5.2777777775190771E-2</v>
      </c>
      <c r="P162" s="67">
        <f t="shared" si="166"/>
        <v>4.9305555556202307E-2</v>
      </c>
      <c r="S162" s="62">
        <f t="shared" si="167"/>
        <v>118.00000000745058</v>
      </c>
      <c r="T162" s="62">
        <f t="shared" si="168"/>
        <v>632.99999999930151</v>
      </c>
      <c r="U162" s="62">
        <f t="shared" si="169"/>
        <v>75.99999999627471</v>
      </c>
      <c r="V162" s="62">
        <f t="shared" si="170"/>
        <v>71.000000000931323</v>
      </c>
    </row>
    <row r="163" spans="1:29">
      <c r="A163" s="101" t="s">
        <v>36</v>
      </c>
      <c r="B163" s="59" t="s">
        <v>494</v>
      </c>
      <c r="C163" s="80">
        <v>46172</v>
      </c>
      <c r="D163" s="18">
        <v>0.5805555555555556</v>
      </c>
      <c r="E163" s="80">
        <v>46172</v>
      </c>
      <c r="F163" s="18">
        <v>0.68819444444444444</v>
      </c>
      <c r="G163" s="80">
        <v>46173</v>
      </c>
      <c r="H163" s="18">
        <v>0.15902777777777777</v>
      </c>
      <c r="I163" s="80">
        <v>46173</v>
      </c>
      <c r="J163" s="18">
        <v>0.1736111111111111</v>
      </c>
      <c r="M163" s="67">
        <f t="shared" si="163"/>
        <v>0.10763888889050577</v>
      </c>
      <c r="N163" s="67">
        <f t="shared" si="164"/>
        <v>0.47083333333284827</v>
      </c>
      <c r="O163" s="67">
        <f t="shared" si="165"/>
        <v>1.4583333329937886E-2</v>
      </c>
      <c r="P163" s="67">
        <f t="shared" si="166"/>
        <v>0.20000000000436557</v>
      </c>
      <c r="S163" s="62">
        <f t="shared" si="167"/>
        <v>155.00000000232831</v>
      </c>
      <c r="T163" s="62">
        <f t="shared" si="168"/>
        <v>677.99999999930151</v>
      </c>
      <c r="U163" s="62">
        <f t="shared" si="169"/>
        <v>20.999999995110556</v>
      </c>
      <c r="V163" s="62">
        <f t="shared" si="170"/>
        <v>288.00000000628643</v>
      </c>
    </row>
    <row r="164" spans="1:29" ht="15.75" thickBot="1">
      <c r="A164" s="102" t="s">
        <v>36</v>
      </c>
      <c r="B164" s="51" t="s">
        <v>494</v>
      </c>
      <c r="C164" s="45">
        <v>46173</v>
      </c>
      <c r="D164" s="46">
        <v>0.37361111111111112</v>
      </c>
      <c r="E164" s="45">
        <v>46173</v>
      </c>
      <c r="F164" s="46">
        <v>0.53819444444444442</v>
      </c>
      <c r="G164" s="45">
        <v>46174</v>
      </c>
      <c r="H164" s="46">
        <v>0.12777777777777777</v>
      </c>
      <c r="I164" s="45">
        <v>46174</v>
      </c>
      <c r="J164" s="46">
        <v>0.16597222222222222</v>
      </c>
      <c r="M164" s="41">
        <f t="shared" si="163"/>
        <v>0.16458333333139308</v>
      </c>
      <c r="N164" s="41">
        <f t="shared" si="164"/>
        <v>0.58958333333430346</v>
      </c>
      <c r="O164" s="41">
        <f t="shared" si="165"/>
        <v>3.8194444445252884E-2</v>
      </c>
      <c r="P164" s="41">
        <f t="shared" si="166"/>
        <v>0.11180555555620231</v>
      </c>
      <c r="S164" s="90">
        <f t="shared" si="167"/>
        <v>236.99999999720603</v>
      </c>
      <c r="T164" s="90">
        <f t="shared" si="168"/>
        <v>849.00000000139698</v>
      </c>
      <c r="U164" s="90">
        <f t="shared" si="169"/>
        <v>55.000000001164153</v>
      </c>
      <c r="V164" s="90">
        <f t="shared" si="170"/>
        <v>161.00000000093132</v>
      </c>
    </row>
    <row r="165" spans="1:29" ht="15.75" thickBot="1">
      <c r="A165" s="101" t="s">
        <v>37</v>
      </c>
      <c r="B165" s="59" t="s">
        <v>512</v>
      </c>
      <c r="C165" s="80">
        <v>46174</v>
      </c>
      <c r="D165" s="74">
        <v>0.27777777777777779</v>
      </c>
      <c r="E165" s="80">
        <v>46174</v>
      </c>
      <c r="F165" s="74">
        <v>0.43333333333333335</v>
      </c>
      <c r="G165" s="80">
        <v>46174</v>
      </c>
      <c r="H165" s="74">
        <v>0.85624999999999996</v>
      </c>
      <c r="I165" s="80">
        <v>46174</v>
      </c>
      <c r="J165" s="74">
        <v>0.87986111111111109</v>
      </c>
      <c r="M165" s="67">
        <f t="shared" si="163"/>
        <v>0.15555555555329192</v>
      </c>
      <c r="N165" s="67">
        <f t="shared" si="164"/>
        <v>0.42291666666278616</v>
      </c>
      <c r="O165" s="67">
        <f t="shared" si="165"/>
        <v>2.3611111115314998E-2</v>
      </c>
      <c r="P165" s="67">
        <f t="shared" si="166"/>
        <v>0.14722222222189885</v>
      </c>
      <c r="S165" s="62">
        <f t="shared" si="167"/>
        <v>223.99999999674037</v>
      </c>
      <c r="T165" s="62">
        <f t="shared" si="168"/>
        <v>608.99999999441206</v>
      </c>
      <c r="U165" s="62">
        <f t="shared" si="169"/>
        <v>34.000000006053597</v>
      </c>
      <c r="V165" s="62">
        <f t="shared" si="170"/>
        <v>211.99999999953434</v>
      </c>
      <c r="X165" s="61" t="s">
        <v>86</v>
      </c>
      <c r="Y165" s="61">
        <v>10800</v>
      </c>
      <c r="Z165" s="63">
        <f>SUM(S165:S172)</f>
        <v>1281.9999999878928</v>
      </c>
      <c r="AA165" s="63">
        <f t="shared" ref="AA165:AC165" si="171">SUM(T165:T172)</f>
        <v>4926.0000000055879</v>
      </c>
      <c r="AB165" s="63">
        <f t="shared" si="171"/>
        <v>373.99999999324791</v>
      </c>
      <c r="AC165" s="63">
        <f t="shared" si="171"/>
        <v>4366.000000013737</v>
      </c>
    </row>
    <row r="166" spans="1:29" ht="15.75" thickBot="1">
      <c r="A166" s="101" t="s">
        <v>37</v>
      </c>
      <c r="B166" s="59" t="s">
        <v>512</v>
      </c>
      <c r="C166" s="80">
        <v>46175</v>
      </c>
      <c r="D166" s="18">
        <v>2.7083333333333334E-2</v>
      </c>
      <c r="E166" s="80">
        <v>46175</v>
      </c>
      <c r="F166" s="18">
        <v>0.13680555555555557</v>
      </c>
      <c r="G166" s="80">
        <v>46175</v>
      </c>
      <c r="H166" s="18">
        <v>0.67500000000000004</v>
      </c>
      <c r="I166" s="80">
        <v>46175</v>
      </c>
      <c r="J166" s="18">
        <v>0.70833333333333337</v>
      </c>
      <c r="M166" s="67">
        <f t="shared" si="163"/>
        <v>0.10972222222335404</v>
      </c>
      <c r="N166" s="67">
        <f t="shared" si="164"/>
        <v>0.53819444444525288</v>
      </c>
      <c r="O166" s="67">
        <f t="shared" si="165"/>
        <v>3.3333333332848269E-2</v>
      </c>
      <c r="P166" s="67">
        <f t="shared" si="166"/>
        <v>9.1666666667151731E-2</v>
      </c>
      <c r="S166" s="62">
        <f t="shared" si="167"/>
        <v>158.00000000162981</v>
      </c>
      <c r="T166" s="62">
        <f t="shared" si="168"/>
        <v>775.00000000116415</v>
      </c>
      <c r="U166" s="62">
        <f t="shared" si="169"/>
        <v>47.999999999301508</v>
      </c>
      <c r="V166" s="62">
        <f t="shared" si="170"/>
        <v>132.00000000069849</v>
      </c>
      <c r="Z166" s="65">
        <f>(Z165/Y165)*100</f>
        <v>11.870370370258266</v>
      </c>
      <c r="AA166" s="68">
        <f>(AA165/Y165)*100</f>
        <v>45.611111111162849</v>
      </c>
      <c r="AB166" s="65">
        <f>(AB165/Y165)*100</f>
        <v>3.4629629629004435</v>
      </c>
      <c r="AC166" s="66">
        <f>(AC165/Y165)*100</f>
        <v>40.425925926053118</v>
      </c>
    </row>
    <row r="167" spans="1:29">
      <c r="A167" s="101" t="s">
        <v>37</v>
      </c>
      <c r="B167" s="59" t="s">
        <v>512</v>
      </c>
      <c r="C167" s="80">
        <v>46175</v>
      </c>
      <c r="D167" s="18">
        <v>0.8</v>
      </c>
      <c r="E167" s="80">
        <v>46175</v>
      </c>
      <c r="F167" s="18">
        <v>0.90347222222222223</v>
      </c>
      <c r="G167" s="80">
        <v>46176</v>
      </c>
      <c r="H167" s="18">
        <v>0.22361111111111112</v>
      </c>
      <c r="I167" s="80">
        <v>46176</v>
      </c>
      <c r="J167" s="18">
        <v>0.24097222222222223</v>
      </c>
      <c r="M167" s="67">
        <f t="shared" si="163"/>
        <v>0.10347222221753327</v>
      </c>
      <c r="N167" s="67">
        <f t="shared" si="164"/>
        <v>0.32013888889196096</v>
      </c>
      <c r="O167" s="67">
        <f t="shared" si="165"/>
        <v>1.7361111109494232E-2</v>
      </c>
      <c r="P167" s="67">
        <f t="shared" si="166"/>
        <v>0.57083333333139308</v>
      </c>
      <c r="S167" s="62">
        <f t="shared" si="167"/>
        <v>148.99999999324791</v>
      </c>
      <c r="T167" s="62">
        <f t="shared" si="168"/>
        <v>461.00000000442378</v>
      </c>
      <c r="U167" s="62">
        <f t="shared" si="169"/>
        <v>24.999999997671694</v>
      </c>
      <c r="V167" s="62">
        <f t="shared" si="170"/>
        <v>821.99999999720603</v>
      </c>
    </row>
    <row r="168" spans="1:29">
      <c r="A168" s="101" t="s">
        <v>37</v>
      </c>
      <c r="B168" s="59" t="s">
        <v>512</v>
      </c>
      <c r="C168" s="80">
        <v>46176</v>
      </c>
      <c r="D168" s="18">
        <v>0.81180555555555556</v>
      </c>
      <c r="E168" s="80">
        <v>46176</v>
      </c>
      <c r="F168" s="18">
        <v>0.89236111111111116</v>
      </c>
      <c r="G168" s="80">
        <v>46177</v>
      </c>
      <c r="H168" s="18">
        <v>0.24305555555555555</v>
      </c>
      <c r="I168" s="80">
        <v>46177</v>
      </c>
      <c r="J168" s="18">
        <v>0.25972222222222224</v>
      </c>
      <c r="M168" s="67">
        <f t="shared" si="163"/>
        <v>8.0555555556202307E-2</v>
      </c>
      <c r="N168" s="67">
        <f t="shared" si="164"/>
        <v>0.35069444444525288</v>
      </c>
      <c r="O168" s="67">
        <f t="shared" si="165"/>
        <v>1.6666666670062114E-2</v>
      </c>
      <c r="P168" s="67">
        <f t="shared" si="166"/>
        <v>5.7638888887595385E-2</v>
      </c>
      <c r="S168" s="62">
        <f t="shared" si="167"/>
        <v>116.00000000093132</v>
      </c>
      <c r="T168" s="62">
        <f t="shared" si="168"/>
        <v>505.00000000116415</v>
      </c>
      <c r="U168" s="62">
        <f t="shared" si="169"/>
        <v>24.000000004889444</v>
      </c>
      <c r="V168" s="62">
        <f t="shared" si="170"/>
        <v>82.999999998137355</v>
      </c>
    </row>
    <row r="169" spans="1:29">
      <c r="A169" s="101" t="s">
        <v>37</v>
      </c>
      <c r="B169" s="59" t="s">
        <v>512</v>
      </c>
      <c r="C169" s="133">
        <v>46177</v>
      </c>
      <c r="D169" s="18">
        <v>0.31736111111111109</v>
      </c>
      <c r="E169" s="133">
        <v>46177</v>
      </c>
      <c r="F169" s="18">
        <v>0.4597222222222222</v>
      </c>
      <c r="G169" s="133">
        <v>46177</v>
      </c>
      <c r="H169" s="18">
        <v>0.94374999999999998</v>
      </c>
      <c r="I169" s="133">
        <v>46178</v>
      </c>
      <c r="J169" s="18">
        <v>1.2500000000000001E-2</v>
      </c>
      <c r="M169" s="67">
        <f t="shared" si="163"/>
        <v>0.14236111110949423</v>
      </c>
      <c r="N169" s="67">
        <f t="shared" si="164"/>
        <v>0.48402777777664596</v>
      </c>
      <c r="O169" s="67">
        <f t="shared" si="165"/>
        <v>6.8749999998544808E-2</v>
      </c>
      <c r="P169" s="67">
        <f t="shared" si="166"/>
        <v>0.96944444444670808</v>
      </c>
      <c r="S169" s="62">
        <f t="shared" si="167"/>
        <v>204.99999999767169</v>
      </c>
      <c r="T169" s="62">
        <f t="shared" si="168"/>
        <v>696.99999999837019</v>
      </c>
      <c r="U169" s="62">
        <f t="shared" si="169"/>
        <v>98.999999997904524</v>
      </c>
      <c r="V169" s="62">
        <f t="shared" si="170"/>
        <v>1396.0000000032596</v>
      </c>
    </row>
    <row r="170" spans="1:29">
      <c r="A170" s="101" t="s">
        <v>37</v>
      </c>
      <c r="B170" s="59" t="s">
        <v>512</v>
      </c>
      <c r="C170" s="133">
        <v>46178</v>
      </c>
      <c r="D170" s="134">
        <v>0.9819444444444444</v>
      </c>
      <c r="E170" s="133">
        <v>46179</v>
      </c>
      <c r="F170" s="134">
        <v>7.9861111111111105E-2</v>
      </c>
      <c r="G170" s="133">
        <v>46179</v>
      </c>
      <c r="H170" s="134">
        <v>0.33680555555555558</v>
      </c>
      <c r="I170" s="133">
        <v>46179</v>
      </c>
      <c r="J170" s="134">
        <v>0.34375</v>
      </c>
      <c r="M170" s="167">
        <f t="shared" si="163"/>
        <v>9.7916666665696539E-2</v>
      </c>
      <c r="N170" s="167">
        <f t="shared" si="164"/>
        <v>0.25694444444525288</v>
      </c>
      <c r="O170" s="167">
        <f t="shared" si="165"/>
        <v>6.9444444452528842E-3</v>
      </c>
      <c r="P170" s="167">
        <f t="shared" si="166"/>
        <v>0.49305555555474712</v>
      </c>
      <c r="S170" s="168">
        <f t="shared" si="167"/>
        <v>140.99999999860302</v>
      </c>
      <c r="T170" s="168">
        <f t="shared" si="168"/>
        <v>370.00000000116415</v>
      </c>
      <c r="U170" s="168">
        <f t="shared" si="169"/>
        <v>10.000000001164153</v>
      </c>
      <c r="V170" s="168">
        <f t="shared" si="170"/>
        <v>709.99999999883585</v>
      </c>
    </row>
    <row r="171" spans="1:29">
      <c r="A171" s="101" t="s">
        <v>37</v>
      </c>
      <c r="B171" s="59" t="s">
        <v>512</v>
      </c>
      <c r="C171" s="142">
        <v>46179</v>
      </c>
      <c r="D171" s="18">
        <v>0.83680555555555558</v>
      </c>
      <c r="E171" s="142">
        <v>46179</v>
      </c>
      <c r="F171" s="18">
        <v>0.95833333333333337</v>
      </c>
      <c r="G171" s="142">
        <v>46180</v>
      </c>
      <c r="H171" s="18">
        <v>0.45416666666666666</v>
      </c>
      <c r="I171" s="142">
        <v>46180</v>
      </c>
      <c r="J171" s="18">
        <v>0.50347222222222221</v>
      </c>
      <c r="M171" s="103">
        <f>(E171+F171)-(C171+D171)</f>
        <v>0.12152777778101154</v>
      </c>
      <c r="N171" s="103">
        <f>(G171+H171)-(E171+F171)</f>
        <v>0.49583333333430346</v>
      </c>
      <c r="O171" s="103">
        <f t="shared" si="165"/>
        <v>4.930555554892635E-2</v>
      </c>
      <c r="P171" s="103">
        <f t="shared" si="166"/>
        <v>0.13125000000582077</v>
      </c>
      <c r="S171" s="34">
        <f t="shared" si="167"/>
        <v>175.00000000465661</v>
      </c>
      <c r="T171" s="34">
        <f t="shared" si="168"/>
        <v>714.00000000139698</v>
      </c>
      <c r="U171" s="34">
        <f t="shared" si="169"/>
        <v>70.999999990453944</v>
      </c>
      <c r="V171" s="34">
        <f t="shared" si="170"/>
        <v>189.0000000083819</v>
      </c>
    </row>
    <row r="172" spans="1:29" ht="15.75" thickBot="1">
      <c r="A172" s="102" t="s">
        <v>37</v>
      </c>
      <c r="B172" s="51" t="s">
        <v>512</v>
      </c>
      <c r="C172" s="147">
        <v>46180</v>
      </c>
      <c r="D172" s="46">
        <v>0.63472222222222219</v>
      </c>
      <c r="E172" s="147">
        <v>46180</v>
      </c>
      <c r="F172" s="46">
        <v>0.71388888888888891</v>
      </c>
      <c r="G172" s="147">
        <v>46181</v>
      </c>
      <c r="H172" s="46">
        <v>0.26597222222222222</v>
      </c>
      <c r="I172" s="147">
        <v>46181</v>
      </c>
      <c r="J172" s="46">
        <v>0.30972222222222223</v>
      </c>
      <c r="M172" s="41">
        <f t="shared" ref="M172:M177" si="172">(E172+F172)-(C172+D172)</f>
        <v>7.9166666662786156E-2</v>
      </c>
      <c r="N172" s="41">
        <f t="shared" ref="N172:N177" si="173">(G172+H172)-(E172+F172)</f>
        <v>0.55208333333575865</v>
      </c>
      <c r="O172" s="41">
        <f t="shared" ref="O172:O178" si="174">(I172+J172)-(G172+H172)</f>
        <v>4.3749999997089617E-2</v>
      </c>
      <c r="P172" s="41">
        <f>(C173+D173)-(I172+J172)</f>
        <v>0.57083333333866904</v>
      </c>
      <c r="S172" s="90">
        <f t="shared" ref="S172:S178" si="175">1440*M172</f>
        <v>113.99999999441206</v>
      </c>
      <c r="T172" s="90">
        <f t="shared" ref="T172:T178" si="176">1440*N172</f>
        <v>795.00000000349246</v>
      </c>
      <c r="U172" s="90">
        <f t="shared" ref="U172:U178" si="177">1440*O172</f>
        <v>62.999999995809048</v>
      </c>
      <c r="V172" s="90">
        <f t="shared" ref="V172:V178" si="178">1440*P172</f>
        <v>822.00000000768341</v>
      </c>
    </row>
    <row r="173" spans="1:29" ht="15.75" thickBot="1">
      <c r="A173" s="101" t="s">
        <v>38</v>
      </c>
      <c r="B173" s="59" t="s">
        <v>552</v>
      </c>
      <c r="C173" s="80">
        <v>46181</v>
      </c>
      <c r="D173" s="74">
        <v>0.88055555555555554</v>
      </c>
      <c r="E173" s="80">
        <v>46181</v>
      </c>
      <c r="F173" s="74">
        <v>0.96111111111111114</v>
      </c>
      <c r="G173" s="80">
        <v>46182</v>
      </c>
      <c r="H173" s="74">
        <v>0.23333333333333334</v>
      </c>
      <c r="I173" s="80">
        <v>46182</v>
      </c>
      <c r="J173" s="74">
        <v>0.25</v>
      </c>
      <c r="M173" s="67">
        <f t="shared" si="172"/>
        <v>8.055555554892635E-2</v>
      </c>
      <c r="N173" s="67">
        <f t="shared" si="173"/>
        <v>0.27222222222189885</v>
      </c>
      <c r="O173" s="67">
        <f t="shared" si="174"/>
        <v>1.6666666670062114E-2</v>
      </c>
      <c r="P173" s="67">
        <f t="shared" ref="P173:P178" si="179">(C174+D174)-(I173+J173)</f>
        <v>9.6527777779556345E-2</v>
      </c>
      <c r="S173" s="62">
        <f t="shared" si="175"/>
        <v>115.99999999045394</v>
      </c>
      <c r="T173" s="62">
        <f t="shared" si="176"/>
        <v>391.99999999953434</v>
      </c>
      <c r="U173" s="62">
        <f t="shared" si="177"/>
        <v>24.000000004889444</v>
      </c>
      <c r="V173" s="62">
        <f t="shared" si="178"/>
        <v>139.00000000256114</v>
      </c>
      <c r="X173" s="61" t="s">
        <v>86</v>
      </c>
      <c r="Y173" s="61">
        <v>10800</v>
      </c>
      <c r="Z173" s="63">
        <f>SUM(S173:S179)</f>
        <v>1629.9999999802094</v>
      </c>
      <c r="AA173" s="63">
        <f>SUM(T173:T179)</f>
        <v>4377.0000000181608</v>
      </c>
      <c r="AB173" s="63">
        <f>SUM(U173:U179)</f>
        <v>351.99999999487773</v>
      </c>
      <c r="AC173" s="63">
        <f>SUM(V173:V179)</f>
        <v>2858.0000000016298</v>
      </c>
    </row>
    <row r="174" spans="1:29" ht="15.75" thickBot="1">
      <c r="A174" s="101" t="s">
        <v>38</v>
      </c>
      <c r="B174" s="59" t="s">
        <v>552</v>
      </c>
      <c r="C174" s="21">
        <v>46182</v>
      </c>
      <c r="D174" s="18">
        <v>0.34652777777777777</v>
      </c>
      <c r="E174" s="21">
        <v>46182</v>
      </c>
      <c r="F174" s="18">
        <v>0.62708333333333333</v>
      </c>
      <c r="G174" s="21">
        <v>46183</v>
      </c>
      <c r="H174" s="18">
        <v>0.20833333333333334</v>
      </c>
      <c r="I174" s="21">
        <v>46183</v>
      </c>
      <c r="J174" s="18">
        <v>0.25833333333333336</v>
      </c>
      <c r="M174" s="67">
        <f t="shared" si="172"/>
        <v>0.28055555555329192</v>
      </c>
      <c r="N174" s="67">
        <f t="shared" si="173"/>
        <v>0.58125000000291038</v>
      </c>
      <c r="O174" s="67">
        <f>(I174+J174)-(G174+H174)</f>
        <v>4.9999999995634425E-2</v>
      </c>
      <c r="P174" s="67">
        <f t="shared" si="179"/>
        <v>0.63124999999854481</v>
      </c>
      <c r="S174" s="34">
        <f t="shared" si="175"/>
        <v>403.99999999674037</v>
      </c>
      <c r="T174" s="34">
        <f t="shared" si="176"/>
        <v>837.00000000419095</v>
      </c>
      <c r="U174" s="34">
        <f t="shared" si="177"/>
        <v>71.999999993713573</v>
      </c>
      <c r="V174" s="34">
        <f t="shared" si="178"/>
        <v>908.99999999790452</v>
      </c>
      <c r="Z174" s="65">
        <f>(Z173/Y173)*100</f>
        <v>15.092592592409346</v>
      </c>
      <c r="AA174" s="68">
        <f>(AA173/Y173)*100</f>
        <v>40.527777777945936</v>
      </c>
      <c r="AB174" s="65">
        <f>(AB173/Y173)*100</f>
        <v>3.2592592592118308</v>
      </c>
      <c r="AC174" s="66">
        <f>(AC173/Y173)*100</f>
        <v>26.462962962978054</v>
      </c>
    </row>
    <row r="175" spans="1:29">
      <c r="A175" s="101" t="s">
        <v>38</v>
      </c>
      <c r="B175" s="59" t="s">
        <v>552</v>
      </c>
      <c r="C175" s="21">
        <v>46183</v>
      </c>
      <c r="D175" s="18">
        <v>0.88958333333333328</v>
      </c>
      <c r="E175" s="21">
        <v>46184</v>
      </c>
      <c r="F175" s="18">
        <v>0.1</v>
      </c>
      <c r="G175" s="21">
        <v>46184</v>
      </c>
      <c r="H175" s="18">
        <v>0.50694444444444442</v>
      </c>
      <c r="I175" s="21">
        <v>46184</v>
      </c>
      <c r="J175" s="18">
        <v>0.54722222222222228</v>
      </c>
      <c r="M175" s="67">
        <f t="shared" si="172"/>
        <v>0.21041666666860692</v>
      </c>
      <c r="N175" s="67">
        <f t="shared" si="173"/>
        <v>0.40694444444670808</v>
      </c>
      <c r="O175" s="67">
        <f t="shared" si="174"/>
        <v>4.0277777778101154E-2</v>
      </c>
      <c r="P175" s="67">
        <f t="shared" si="179"/>
        <v>0.17777777777519077</v>
      </c>
      <c r="S175" s="34">
        <f t="shared" si="175"/>
        <v>303.00000000279397</v>
      </c>
      <c r="T175" s="34">
        <f t="shared" si="176"/>
        <v>586.00000000325963</v>
      </c>
      <c r="U175" s="34">
        <f t="shared" si="177"/>
        <v>58.000000000465661</v>
      </c>
      <c r="V175" s="34">
        <f t="shared" si="178"/>
        <v>255.99999999627471</v>
      </c>
    </row>
    <row r="176" spans="1:29">
      <c r="A176" s="101" t="s">
        <v>38</v>
      </c>
      <c r="B176" s="59" t="s">
        <v>552</v>
      </c>
      <c r="C176" s="21">
        <v>46184</v>
      </c>
      <c r="D176" s="18">
        <v>0.72499999999999998</v>
      </c>
      <c r="E176" s="21">
        <v>46184</v>
      </c>
      <c r="F176" s="18">
        <v>0.84305555555555556</v>
      </c>
      <c r="G176" s="21">
        <v>46185</v>
      </c>
      <c r="H176" s="18">
        <v>0.40902777777777777</v>
      </c>
      <c r="I176" s="21">
        <v>46185</v>
      </c>
      <c r="J176" s="18">
        <v>0.4513888888888889</v>
      </c>
      <c r="M176" s="67">
        <f t="shared" si="172"/>
        <v>0.11805555555474712</v>
      </c>
      <c r="N176" s="67">
        <f t="shared" si="173"/>
        <v>0.56597222222626442</v>
      </c>
      <c r="O176" s="67">
        <f t="shared" si="174"/>
        <v>4.2361111110949423E-2</v>
      </c>
      <c r="P176" s="67">
        <f t="shared" si="179"/>
        <v>0.58472222222189885</v>
      </c>
      <c r="S176" s="34">
        <f t="shared" si="175"/>
        <v>169.99999999883585</v>
      </c>
      <c r="T176" s="34">
        <f t="shared" si="176"/>
        <v>815.00000000582077</v>
      </c>
      <c r="U176" s="34">
        <f t="shared" si="177"/>
        <v>60.999999999767169</v>
      </c>
      <c r="V176" s="34">
        <f t="shared" si="178"/>
        <v>841.99999999953434</v>
      </c>
    </row>
    <row r="177" spans="1:29">
      <c r="A177" s="169" t="s">
        <v>38</v>
      </c>
      <c r="B177" s="59" t="s">
        <v>552</v>
      </c>
      <c r="C177" s="170">
        <v>46186</v>
      </c>
      <c r="D177" s="171">
        <v>3.6111111111111108E-2</v>
      </c>
      <c r="E177" s="170">
        <v>46186</v>
      </c>
      <c r="F177" s="171">
        <v>0.11388888888888889</v>
      </c>
      <c r="G177" s="170">
        <v>46186</v>
      </c>
      <c r="H177" s="171">
        <v>0.37152777777777779</v>
      </c>
      <c r="I177" s="170">
        <v>46186</v>
      </c>
      <c r="J177" s="171">
        <v>0.39513888888888887</v>
      </c>
      <c r="M177" s="167">
        <f t="shared" si="172"/>
        <v>7.7777777776645962E-2</v>
      </c>
      <c r="N177" s="167">
        <f t="shared" si="173"/>
        <v>0.25763888889196096</v>
      </c>
      <c r="O177" s="167">
        <f t="shared" si="174"/>
        <v>2.361111110803904E-2</v>
      </c>
      <c r="P177" s="167">
        <f t="shared" si="179"/>
        <v>0.34027777778101154</v>
      </c>
      <c r="S177" s="123">
        <f t="shared" si="175"/>
        <v>111.99999999837019</v>
      </c>
      <c r="T177" s="123">
        <f>1440*N177</f>
        <v>371.00000000442378</v>
      </c>
      <c r="U177" s="123">
        <f t="shared" si="177"/>
        <v>33.999999995576218</v>
      </c>
      <c r="V177" s="123">
        <f t="shared" si="178"/>
        <v>490.00000000465661</v>
      </c>
    </row>
    <row r="178" spans="1:29">
      <c r="A178" s="92" t="s">
        <v>38</v>
      </c>
      <c r="B178" s="59" t="s">
        <v>552</v>
      </c>
      <c r="C178" s="21">
        <v>46186</v>
      </c>
      <c r="D178" s="18">
        <v>0.73541666666666672</v>
      </c>
      <c r="E178" s="21">
        <v>46186</v>
      </c>
      <c r="F178" s="18">
        <v>0.99444444444444446</v>
      </c>
      <c r="G178" s="21">
        <v>46187</v>
      </c>
      <c r="H178" s="18">
        <v>0.55833333333333335</v>
      </c>
      <c r="I178" s="21">
        <v>46187</v>
      </c>
      <c r="J178" s="18">
        <v>0.59375</v>
      </c>
      <c r="M178" s="103">
        <f>(E178+F178)-(C178+D178)</f>
        <v>0.2590277777708252</v>
      </c>
      <c r="N178" s="103">
        <f>(G178+H178)-(E178+F178)</f>
        <v>0.56388888889341615</v>
      </c>
      <c r="O178" s="103">
        <f t="shared" si="174"/>
        <v>3.5416666665696539E-2</v>
      </c>
      <c r="P178" s="103">
        <f t="shared" si="179"/>
        <v>0.10972222222335404</v>
      </c>
      <c r="S178" s="34">
        <f t="shared" si="175"/>
        <v>372.99999998998828</v>
      </c>
      <c r="T178" s="34">
        <f t="shared" si="176"/>
        <v>812.00000000651926</v>
      </c>
      <c r="U178" s="34">
        <f t="shared" si="177"/>
        <v>50.999999998603016</v>
      </c>
      <c r="V178" s="34">
        <f t="shared" si="178"/>
        <v>158.00000000162981</v>
      </c>
    </row>
    <row r="179" spans="1:29" ht="15.75" thickBot="1">
      <c r="A179" s="102" t="s">
        <v>38</v>
      </c>
      <c r="B179" s="51" t="s">
        <v>552</v>
      </c>
      <c r="C179" s="45">
        <v>46187</v>
      </c>
      <c r="D179" s="46">
        <v>0.70347222222222228</v>
      </c>
      <c r="E179" s="45">
        <v>46187</v>
      </c>
      <c r="F179" s="46">
        <v>0.80902777777777779</v>
      </c>
      <c r="G179" s="45">
        <v>46188</v>
      </c>
      <c r="H179" s="46">
        <v>0.20069444444444445</v>
      </c>
      <c r="I179" s="45">
        <v>46188</v>
      </c>
      <c r="J179" s="46">
        <v>0.23680555555555555</v>
      </c>
      <c r="M179" s="41">
        <f t="shared" ref="M179:M185" si="180">(E179+F179)-(C179+D179)</f>
        <v>0.1055555555576575</v>
      </c>
      <c r="N179" s="41">
        <f t="shared" ref="N179:N185" si="181">(G179+H179)-(E179+F179)</f>
        <v>0.39166666666278616</v>
      </c>
      <c r="O179" s="41">
        <f t="shared" ref="O179:O185" si="182">(I179+J179)-(G179+H179)</f>
        <v>3.6111111112404615E-2</v>
      </c>
      <c r="P179" s="41">
        <f t="shared" ref="P179:P185" si="183">(C180+D180)-(I179+J179)</f>
        <v>4.4444444443797693E-2</v>
      </c>
      <c r="S179" s="90">
        <f t="shared" ref="S179:S185" si="184">1440*M179</f>
        <v>152.0000000030268</v>
      </c>
      <c r="T179" s="90">
        <f t="shared" ref="T179:T185" si="185">1440*N179</f>
        <v>563.99999999441206</v>
      </c>
      <c r="U179" s="90">
        <f t="shared" ref="U179:U185" si="186">1440*O179</f>
        <v>52.000000001862645</v>
      </c>
      <c r="V179" s="90">
        <f t="shared" ref="V179:V185" si="187">1440*P179</f>
        <v>63.999999999068677</v>
      </c>
    </row>
    <row r="180" spans="1:29" ht="15.75" thickBot="1">
      <c r="A180" s="101" t="s">
        <v>39</v>
      </c>
      <c r="B180" s="59" t="s">
        <v>555</v>
      </c>
      <c r="C180" s="80">
        <v>46188</v>
      </c>
      <c r="D180" s="74">
        <v>0.28125</v>
      </c>
      <c r="E180" s="80">
        <v>46188</v>
      </c>
      <c r="F180" s="74">
        <v>0.38541666666666669</v>
      </c>
      <c r="G180" s="80">
        <v>46188</v>
      </c>
      <c r="H180" s="74">
        <v>0.90972222222222221</v>
      </c>
      <c r="I180" s="80">
        <v>46188</v>
      </c>
      <c r="J180" s="74">
        <v>0.94166666666666665</v>
      </c>
      <c r="M180" s="67">
        <f t="shared" si="180"/>
        <v>0.10416666666424135</v>
      </c>
      <c r="N180" s="67">
        <f t="shared" si="181"/>
        <v>0.52430555555474712</v>
      </c>
      <c r="O180" s="67">
        <f t="shared" si="182"/>
        <v>3.1944444446708076E-2</v>
      </c>
      <c r="P180" s="67">
        <f t="shared" si="183"/>
        <v>0.21388888888759539</v>
      </c>
      <c r="S180" s="62">
        <f t="shared" si="184"/>
        <v>149.99999999650754</v>
      </c>
      <c r="T180" s="62">
        <f t="shared" si="185"/>
        <v>754.99999999883585</v>
      </c>
      <c r="U180" s="62">
        <f t="shared" si="186"/>
        <v>46.000000003259629</v>
      </c>
      <c r="V180" s="62">
        <f t="shared" si="187"/>
        <v>307.99999999813735</v>
      </c>
      <c r="X180" s="61" t="s">
        <v>86</v>
      </c>
      <c r="Y180" s="61">
        <v>10800</v>
      </c>
      <c r="Z180" s="63">
        <f>SUM(S180:S188)</f>
        <v>1365.0000000174623</v>
      </c>
      <c r="AA180" s="63">
        <f>SUM(T180:T188)</f>
        <v>3898.9999999897555</v>
      </c>
      <c r="AB180" s="63">
        <f t="shared" ref="AB180:AC180" si="188">SUM(U180:U188)</f>
        <v>404.99999998952262</v>
      </c>
      <c r="AC180" s="63">
        <f t="shared" si="188"/>
        <v>4267.9999999981374</v>
      </c>
    </row>
    <row r="181" spans="1:29" ht="15.75" thickBot="1">
      <c r="A181" s="92" t="s">
        <v>39</v>
      </c>
      <c r="B181" s="59" t="s">
        <v>555</v>
      </c>
      <c r="C181" s="21">
        <v>46189</v>
      </c>
      <c r="D181" s="18">
        <v>0.15555555555555556</v>
      </c>
      <c r="E181" s="21">
        <v>46189</v>
      </c>
      <c r="F181" s="18">
        <v>0.23541666666666666</v>
      </c>
      <c r="G181" s="21">
        <v>46189</v>
      </c>
      <c r="H181" s="18">
        <v>0.26944444444444443</v>
      </c>
      <c r="I181" s="21">
        <v>46189</v>
      </c>
      <c r="J181" s="18">
        <v>0.2902777777777778</v>
      </c>
      <c r="M181" s="167">
        <f t="shared" si="180"/>
        <v>7.9861111116770189E-2</v>
      </c>
      <c r="N181" s="167">
        <f t="shared" si="181"/>
        <v>3.4027777772280388E-2</v>
      </c>
      <c r="O181" s="167">
        <f t="shared" si="182"/>
        <v>2.0833333335758653E-2</v>
      </c>
      <c r="P181" s="167">
        <f t="shared" si="183"/>
        <v>0.31736111111240461</v>
      </c>
      <c r="S181" s="123">
        <f t="shared" si="184"/>
        <v>115.00000000814907</v>
      </c>
      <c r="T181" s="123">
        <f t="shared" si="185"/>
        <v>48.999999992083758</v>
      </c>
      <c r="U181" s="123">
        <f t="shared" si="186"/>
        <v>30.00000000349246</v>
      </c>
      <c r="V181" s="123">
        <f t="shared" si="187"/>
        <v>457.00000000186265</v>
      </c>
      <c r="Z181" s="65">
        <f>(Z180/Y180)*100</f>
        <v>12.638888889050575</v>
      </c>
      <c r="AA181" s="68">
        <f>(AA180/Y180)*100</f>
        <v>36.101851851756997</v>
      </c>
      <c r="AB181" s="65">
        <f>(AB180/Y180)*100</f>
        <v>3.7499999999029874</v>
      </c>
      <c r="AC181" s="66">
        <f>(AC180/Y180)*100</f>
        <v>39.518518518501274</v>
      </c>
    </row>
    <row r="182" spans="1:29">
      <c r="A182" s="92" t="s">
        <v>39</v>
      </c>
      <c r="B182" s="59" t="s">
        <v>555</v>
      </c>
      <c r="C182" s="21">
        <v>46189</v>
      </c>
      <c r="D182" s="18">
        <v>0.60763888888888884</v>
      </c>
      <c r="E182" s="21">
        <v>46189</v>
      </c>
      <c r="F182" s="18">
        <v>0.71875</v>
      </c>
      <c r="G182" s="21">
        <v>46189</v>
      </c>
      <c r="H182" s="18">
        <v>0.87569444444444444</v>
      </c>
      <c r="I182" s="21">
        <v>46189</v>
      </c>
      <c r="J182" s="18">
        <v>0.91041666666666665</v>
      </c>
      <c r="M182" s="103">
        <f t="shared" si="180"/>
        <v>0.11111111110949423</v>
      </c>
      <c r="N182" s="103">
        <f t="shared" si="181"/>
        <v>0.15694444444670808</v>
      </c>
      <c r="O182" s="103">
        <f t="shared" si="182"/>
        <v>3.4722222218988463E-2</v>
      </c>
      <c r="P182" s="103">
        <f t="shared" si="183"/>
        <v>0.46805555555329192</v>
      </c>
      <c r="S182" s="34">
        <f t="shared" si="184"/>
        <v>159.99999999767169</v>
      </c>
      <c r="T182" s="34">
        <f t="shared" si="185"/>
        <v>226.00000000325963</v>
      </c>
      <c r="U182" s="34">
        <f t="shared" si="186"/>
        <v>49.999999995343387</v>
      </c>
      <c r="V182" s="34">
        <f t="shared" si="187"/>
        <v>673.99999999674037</v>
      </c>
    </row>
    <row r="183" spans="1:29">
      <c r="A183" s="101" t="s">
        <v>39</v>
      </c>
      <c r="B183" s="59" t="s">
        <v>555</v>
      </c>
      <c r="C183" s="21">
        <v>46190</v>
      </c>
      <c r="D183" s="18">
        <v>0.37847222222222221</v>
      </c>
      <c r="E183" s="21">
        <v>46190</v>
      </c>
      <c r="F183" s="18">
        <v>0.50555555555555554</v>
      </c>
      <c r="G183" s="21">
        <v>46191</v>
      </c>
      <c r="H183" s="18">
        <v>4.9305555555555554E-2</v>
      </c>
      <c r="I183" s="21">
        <v>46191</v>
      </c>
      <c r="J183" s="18">
        <v>0.10277777777777777</v>
      </c>
      <c r="M183" s="167">
        <f t="shared" si="180"/>
        <v>0.12708333334012423</v>
      </c>
      <c r="N183" s="167">
        <f t="shared" si="181"/>
        <v>0.54374999999708962</v>
      </c>
      <c r="O183" s="167">
        <f t="shared" si="182"/>
        <v>5.3472222221898846E-2</v>
      </c>
      <c r="P183" s="167">
        <f t="shared" si="183"/>
        <v>5.1388888889050577E-2</v>
      </c>
      <c r="S183" s="123">
        <f t="shared" si="184"/>
        <v>183.00000000977889</v>
      </c>
      <c r="T183" s="123">
        <f t="shared" si="185"/>
        <v>782.99999999580905</v>
      </c>
      <c r="U183" s="123">
        <f t="shared" si="186"/>
        <v>76.999999999534339</v>
      </c>
      <c r="V183" s="123">
        <f t="shared" si="187"/>
        <v>74.000000000232831</v>
      </c>
    </row>
    <row r="184" spans="1:29">
      <c r="A184" s="92" t="s">
        <v>39</v>
      </c>
      <c r="B184" s="20" t="s">
        <v>555</v>
      </c>
      <c r="C184" s="21">
        <v>46191</v>
      </c>
      <c r="D184" s="18">
        <v>0.15416666666666667</v>
      </c>
      <c r="E184" s="21">
        <v>46191</v>
      </c>
      <c r="F184" s="18">
        <v>0.27083333333333331</v>
      </c>
      <c r="G184" s="21">
        <v>46191</v>
      </c>
      <c r="H184" s="18">
        <v>0.80763888888888891</v>
      </c>
      <c r="I184" s="21">
        <v>46191</v>
      </c>
      <c r="J184" s="18">
        <v>0.84166666666666667</v>
      </c>
      <c r="M184" s="103">
        <f t="shared" si="180"/>
        <v>0.11666666666860692</v>
      </c>
      <c r="N184" s="103">
        <f t="shared" si="181"/>
        <v>0.53680555555183673</v>
      </c>
      <c r="O184" s="103">
        <f t="shared" si="182"/>
        <v>3.4027777779556345E-2</v>
      </c>
      <c r="P184" s="103">
        <f t="shared" si="183"/>
        <v>0.87013888888759539</v>
      </c>
      <c r="S184" s="34">
        <f t="shared" si="184"/>
        <v>168.00000000279397</v>
      </c>
      <c r="T184" s="34">
        <f t="shared" si="185"/>
        <v>772.9999999946449</v>
      </c>
      <c r="U184" s="34">
        <f t="shared" si="186"/>
        <v>49.000000002561137</v>
      </c>
      <c r="V184" s="34">
        <f t="shared" si="187"/>
        <v>1252.9999999981374</v>
      </c>
    </row>
    <row r="185" spans="1:29">
      <c r="A185" s="92" t="s">
        <v>39</v>
      </c>
      <c r="B185" s="20" t="s">
        <v>555</v>
      </c>
      <c r="C185" s="21">
        <v>46192</v>
      </c>
      <c r="D185" s="18">
        <v>0.71180555555555558</v>
      </c>
      <c r="E185" s="21">
        <v>46192</v>
      </c>
      <c r="F185" s="18">
        <v>0.80625000000000002</v>
      </c>
      <c r="G185" s="21">
        <v>46192</v>
      </c>
      <c r="H185" s="18">
        <v>0.87777777777777777</v>
      </c>
      <c r="I185" s="21">
        <v>46192</v>
      </c>
      <c r="J185" s="18">
        <v>0.89930555555555558</v>
      </c>
      <c r="M185" s="103">
        <f t="shared" si="180"/>
        <v>9.4444444446708076E-2</v>
      </c>
      <c r="N185" s="103">
        <f t="shared" si="181"/>
        <v>7.1527777778101154E-2</v>
      </c>
      <c r="O185" s="103">
        <f t="shared" si="182"/>
        <v>2.1527777775190771E-2</v>
      </c>
      <c r="P185" s="103">
        <f t="shared" si="183"/>
        <v>0.12152777778101154</v>
      </c>
      <c r="S185" s="34">
        <f t="shared" si="184"/>
        <v>136.00000000325963</v>
      </c>
      <c r="T185" s="34">
        <f t="shared" si="185"/>
        <v>103.00000000046566</v>
      </c>
      <c r="U185" s="34">
        <f t="shared" si="186"/>
        <v>30.99999999627471</v>
      </c>
      <c r="V185" s="34">
        <f t="shared" si="187"/>
        <v>175.00000000465661</v>
      </c>
    </row>
    <row r="186" spans="1:29">
      <c r="A186" s="92" t="s">
        <v>39</v>
      </c>
      <c r="B186" s="20" t="s">
        <v>555</v>
      </c>
      <c r="C186" s="21">
        <v>46193</v>
      </c>
      <c r="D186" s="18">
        <v>2.0833333333333332E-2</v>
      </c>
      <c r="E186" s="21">
        <v>46193</v>
      </c>
      <c r="F186" s="18">
        <v>0.11736111111111111</v>
      </c>
      <c r="G186" s="21">
        <v>46193</v>
      </c>
      <c r="H186" s="18">
        <v>0.14166666666666666</v>
      </c>
      <c r="I186" s="21">
        <v>46193</v>
      </c>
      <c r="J186" s="18">
        <v>0.16666666666666666</v>
      </c>
      <c r="M186" s="103">
        <f t="shared" ref="M186:M192" si="189">(E186+F186)-(C186+D186)</f>
        <v>9.6527777772280388E-2</v>
      </c>
      <c r="N186" s="103">
        <f>(G186+H186)-(E186+F186)</f>
        <v>2.4305555562023073E-2</v>
      </c>
      <c r="O186" s="103">
        <f t="shared" ref="O186:O192" si="190">(I186+J186)-(G186+H186)</f>
        <v>2.4999999994179234E-2</v>
      </c>
      <c r="P186" s="103">
        <f t="shared" ref="P186:P192" si="191">(C187+D187)-(I186+J186)</f>
        <v>0.47430555555911269</v>
      </c>
      <c r="S186" s="34">
        <f t="shared" ref="S186:S192" si="192">1440*M186</f>
        <v>138.99999999208376</v>
      </c>
      <c r="T186" s="34">
        <f t="shared" ref="T186:T192" si="193">1440*N186</f>
        <v>35.000000009313226</v>
      </c>
      <c r="U186" s="34">
        <f t="shared" ref="U186:U192" si="194">1440*O186</f>
        <v>35.999999991618097</v>
      </c>
      <c r="V186" s="34">
        <f t="shared" ref="V186:V192" si="195">1440*P186</f>
        <v>683.00000000512227</v>
      </c>
    </row>
    <row r="187" spans="1:29">
      <c r="A187" s="92" t="s">
        <v>39</v>
      </c>
      <c r="B187" s="20" t="s">
        <v>555</v>
      </c>
      <c r="C187" s="21">
        <v>46193</v>
      </c>
      <c r="D187" s="18">
        <v>0.64097222222222228</v>
      </c>
      <c r="E187" s="21">
        <v>46193</v>
      </c>
      <c r="F187" s="18">
        <v>0.74861111111111112</v>
      </c>
      <c r="G187" s="21">
        <v>46193</v>
      </c>
      <c r="H187" s="18">
        <v>0.99583333333333335</v>
      </c>
      <c r="I187" s="21">
        <v>46194</v>
      </c>
      <c r="J187" s="18">
        <v>1.4583333333333334E-2</v>
      </c>
      <c r="M187" s="103">
        <f t="shared" si="189"/>
        <v>0.10763888889050577</v>
      </c>
      <c r="N187" s="103">
        <f t="shared" ref="N187:N192" si="196">(G187+H187)-(E187+F187)</f>
        <v>0.24722222222044365</v>
      </c>
      <c r="O187" s="103">
        <f>(I187+J187)-(G187+H187)</f>
        <v>1.8749999995634425E-2</v>
      </c>
      <c r="P187" s="103">
        <f t="shared" si="191"/>
        <v>0.37083333333430346</v>
      </c>
      <c r="S187" s="34">
        <f t="shared" si="192"/>
        <v>155.00000000232831</v>
      </c>
      <c r="T187" s="34">
        <f t="shared" si="193"/>
        <v>355.99999999743886</v>
      </c>
      <c r="U187" s="34">
        <f t="shared" si="194"/>
        <v>26.999999993713573</v>
      </c>
      <c r="V187" s="34">
        <f t="shared" si="195"/>
        <v>534.00000000139698</v>
      </c>
    </row>
    <row r="188" spans="1:29" ht="15.75" thickBot="1">
      <c r="A188" s="102" t="s">
        <v>39</v>
      </c>
      <c r="B188" s="51" t="s">
        <v>555</v>
      </c>
      <c r="C188" s="45">
        <v>46194</v>
      </c>
      <c r="D188" s="46">
        <v>0.38541666666666669</v>
      </c>
      <c r="E188" s="45">
        <v>46194</v>
      </c>
      <c r="F188" s="46">
        <v>0.49583333333333335</v>
      </c>
      <c r="G188" s="45">
        <v>46195</v>
      </c>
      <c r="H188" s="46">
        <v>6.458333333333334E-2</v>
      </c>
      <c r="I188" s="45">
        <v>46195</v>
      </c>
      <c r="J188" s="46">
        <v>0.10555555555555556</v>
      </c>
      <c r="M188" s="41">
        <f t="shared" si="189"/>
        <v>0.11041666667006211</v>
      </c>
      <c r="N188" s="41">
        <f t="shared" si="196"/>
        <v>0.56874999999854481</v>
      </c>
      <c r="O188" s="41">
        <f t="shared" si="190"/>
        <v>4.0972222224809229E-2</v>
      </c>
      <c r="P188" s="41">
        <f t="shared" si="191"/>
        <v>7.6388888883229811E-2</v>
      </c>
      <c r="S188" s="90">
        <f t="shared" si="192"/>
        <v>159.00000000488944</v>
      </c>
      <c r="T188" s="90">
        <f t="shared" si="193"/>
        <v>818.99999999790452</v>
      </c>
      <c r="U188" s="90">
        <f t="shared" si="194"/>
        <v>59.00000000372529</v>
      </c>
      <c r="V188" s="90">
        <f t="shared" si="195"/>
        <v>109.99999999185093</v>
      </c>
    </row>
    <row r="189" spans="1:29" ht="15.75" thickBot="1">
      <c r="A189" s="101" t="s">
        <v>40</v>
      </c>
      <c r="B189" s="59" t="s">
        <v>578</v>
      </c>
      <c r="C189" s="80">
        <v>46195</v>
      </c>
      <c r="D189" s="74">
        <v>0.18194444444444444</v>
      </c>
      <c r="E189" s="80">
        <v>46195</v>
      </c>
      <c r="F189" s="74">
        <v>0.30208333333333331</v>
      </c>
      <c r="G189" s="80">
        <v>46195</v>
      </c>
      <c r="H189" s="74">
        <v>0.75208333333333333</v>
      </c>
      <c r="I189" s="80">
        <v>46195</v>
      </c>
      <c r="J189" s="74">
        <v>0.79097222222222219</v>
      </c>
      <c r="M189" s="67">
        <f t="shared" si="189"/>
        <v>0.12013888889487134</v>
      </c>
      <c r="N189" s="67">
        <f t="shared" si="196"/>
        <v>0.44999999999708962</v>
      </c>
      <c r="O189" s="67">
        <f t="shared" si="190"/>
        <v>3.888888889196096E-2</v>
      </c>
      <c r="P189" s="67">
        <f t="shared" si="191"/>
        <v>0.80972222222044365</v>
      </c>
      <c r="S189" s="62">
        <f t="shared" si="192"/>
        <v>173.00000000861473</v>
      </c>
      <c r="T189" s="62">
        <f t="shared" si="193"/>
        <v>647.99999999580905</v>
      </c>
      <c r="U189" s="62">
        <f t="shared" si="194"/>
        <v>56.000000004423782</v>
      </c>
      <c r="V189" s="62">
        <f t="shared" si="195"/>
        <v>1165.9999999974389</v>
      </c>
      <c r="X189" s="61" t="s">
        <v>86</v>
      </c>
      <c r="Y189" s="61">
        <v>10800</v>
      </c>
      <c r="Z189" s="63">
        <f>SUM(S189:S195)</f>
        <v>1079.0000000176951</v>
      </c>
      <c r="AA189" s="63">
        <f>SUM(T189:T195)</f>
        <v>4839.9999999976717</v>
      </c>
      <c r="AB189" s="63">
        <f>SUM(U189:U195)</f>
        <v>372.00000001816079</v>
      </c>
      <c r="AC189" s="63">
        <f t="shared" ref="AC189" si="197">SUM(V189:V195)</f>
        <v>3863.9999999699648</v>
      </c>
    </row>
    <row r="190" spans="1:29" ht="15.75" thickBot="1">
      <c r="A190" s="92" t="s">
        <v>40</v>
      </c>
      <c r="B190" s="20" t="s">
        <v>578</v>
      </c>
      <c r="C190" s="21">
        <v>46196</v>
      </c>
      <c r="D190" s="18">
        <v>0.60069444444444442</v>
      </c>
      <c r="E190" s="21">
        <v>46196</v>
      </c>
      <c r="F190" s="18">
        <v>0.69930555555555551</v>
      </c>
      <c r="G190" s="21">
        <v>46197</v>
      </c>
      <c r="H190" s="18">
        <v>0.17499999999999999</v>
      </c>
      <c r="I190" s="21">
        <v>46197</v>
      </c>
      <c r="J190" s="18">
        <v>0.23194444444444445</v>
      </c>
      <c r="M190" s="103">
        <f t="shared" si="189"/>
        <v>9.8611111112404615E-2</v>
      </c>
      <c r="N190" s="103">
        <f t="shared" si="196"/>
        <v>0.47569444444525288</v>
      </c>
      <c r="O190" s="103">
        <f t="shared" si="190"/>
        <v>5.694444444088731E-2</v>
      </c>
      <c r="P190" s="103">
        <f t="shared" si="191"/>
        <v>0.46597222222044365</v>
      </c>
      <c r="S190" s="34">
        <f t="shared" si="192"/>
        <v>142.00000000186265</v>
      </c>
      <c r="T190" s="34">
        <f t="shared" si="193"/>
        <v>685.00000000116415</v>
      </c>
      <c r="U190" s="34">
        <f t="shared" si="194"/>
        <v>81.999999994877726</v>
      </c>
      <c r="V190" s="34">
        <f t="shared" si="195"/>
        <v>670.99999999743886</v>
      </c>
      <c r="Z190" s="65">
        <f>(Z189/Y189)*100</f>
        <v>9.9907407409045845</v>
      </c>
      <c r="AA190" s="68">
        <f>(AA189/Y189)*100</f>
        <v>44.814814814793259</v>
      </c>
      <c r="AB190" s="65">
        <f>(AB189/Y189)*100</f>
        <v>3.4444444446126004</v>
      </c>
      <c r="AC190" s="66">
        <f>(AC189/Y189)*100</f>
        <v>35.777777777499672</v>
      </c>
    </row>
    <row r="191" spans="1:29">
      <c r="A191" s="92" t="s">
        <v>40</v>
      </c>
      <c r="B191" s="20" t="s">
        <v>578</v>
      </c>
      <c r="C191" s="21">
        <v>46197</v>
      </c>
      <c r="D191" s="18">
        <v>0.69791666666666663</v>
      </c>
      <c r="E191" s="21">
        <v>46197</v>
      </c>
      <c r="F191" s="18">
        <v>0.80763888888888891</v>
      </c>
      <c r="G191" s="21">
        <v>46198</v>
      </c>
      <c r="H191" s="18">
        <v>0.34305555555555556</v>
      </c>
      <c r="I191" s="21">
        <v>46198</v>
      </c>
      <c r="J191" s="18">
        <v>0.3888888888888889</v>
      </c>
      <c r="M191" s="103">
        <f t="shared" si="189"/>
        <v>0.10972222222335404</v>
      </c>
      <c r="N191" s="103">
        <f t="shared" si="196"/>
        <v>0.53541666666569654</v>
      </c>
      <c r="O191" s="103">
        <f t="shared" si="190"/>
        <v>4.5833333337213844E-2</v>
      </c>
      <c r="P191" s="103">
        <f t="shared" si="191"/>
        <v>7.4305555550381541E-2</v>
      </c>
      <c r="S191" s="34">
        <f t="shared" si="192"/>
        <v>158.00000000162981</v>
      </c>
      <c r="T191" s="34">
        <f t="shared" si="193"/>
        <v>770.99999999860302</v>
      </c>
      <c r="U191" s="34">
        <f t="shared" si="194"/>
        <v>66.000000005587935</v>
      </c>
      <c r="V191" s="34">
        <f t="shared" si="195"/>
        <v>106.99999999254942</v>
      </c>
    </row>
    <row r="192" spans="1:29">
      <c r="A192" s="92" t="s">
        <v>40</v>
      </c>
      <c r="B192" s="20" t="s">
        <v>578</v>
      </c>
      <c r="C192" s="21">
        <v>46198</v>
      </c>
      <c r="D192" s="18">
        <v>0.46319444444444446</v>
      </c>
      <c r="E192" s="21">
        <v>46198</v>
      </c>
      <c r="F192" s="18">
        <v>0.57430555555555551</v>
      </c>
      <c r="G192" s="21">
        <v>46198</v>
      </c>
      <c r="H192" s="18">
        <v>0.86805555555555558</v>
      </c>
      <c r="I192" s="21">
        <v>46198</v>
      </c>
      <c r="J192" s="18">
        <v>0.87777777777777777</v>
      </c>
      <c r="M192" s="103">
        <f t="shared" si="189"/>
        <v>0.11111111111677019</v>
      </c>
      <c r="N192" s="103">
        <f t="shared" si="196"/>
        <v>0.29374999999708962</v>
      </c>
      <c r="O192" s="103">
        <f t="shared" si="190"/>
        <v>9.7222222248092294E-3</v>
      </c>
      <c r="P192" s="103">
        <f t="shared" si="191"/>
        <v>0.18819444443943212</v>
      </c>
      <c r="S192" s="34">
        <f t="shared" si="192"/>
        <v>160.00000000814907</v>
      </c>
      <c r="T192" s="34">
        <f t="shared" si="193"/>
        <v>422.99999999580905</v>
      </c>
      <c r="U192" s="34">
        <f t="shared" si="194"/>
        <v>14.00000000372529</v>
      </c>
      <c r="V192" s="34">
        <f t="shared" si="195"/>
        <v>270.99999999278225</v>
      </c>
    </row>
    <row r="193" spans="1:29">
      <c r="A193" s="92" t="s">
        <v>40</v>
      </c>
      <c r="B193" s="20" t="s">
        <v>578</v>
      </c>
      <c r="C193" s="21">
        <v>46199</v>
      </c>
      <c r="D193" s="18">
        <v>6.5972222222222224E-2</v>
      </c>
      <c r="E193" s="21">
        <v>46199</v>
      </c>
      <c r="F193" s="18">
        <v>0.12847222222222221</v>
      </c>
      <c r="G193" s="21">
        <v>46199</v>
      </c>
      <c r="H193" s="18">
        <v>0.61388888888888893</v>
      </c>
      <c r="I193" s="21">
        <v>46199</v>
      </c>
      <c r="J193" s="18">
        <v>0.65277777777777779</v>
      </c>
      <c r="M193" s="103">
        <f t="shared" ref="M193:M205" si="198">(E193+F193)-(C193+D193)</f>
        <v>6.25E-2</v>
      </c>
      <c r="N193" s="103">
        <f t="shared" ref="N193:N205" si="199">(G193+H193)-(E193+F193)</f>
        <v>0.48541666667006211</v>
      </c>
      <c r="O193" s="103">
        <f t="shared" ref="O193:O205" si="200">(I193+J193)-(G193+H193)</f>
        <v>3.888888889196096E-2</v>
      </c>
      <c r="P193" s="103">
        <f t="shared" ref="P193:P205" si="201">(C194+D194)-(I193+J193)</f>
        <v>0.4256944444423425</v>
      </c>
      <c r="S193" s="34">
        <f t="shared" ref="S193:S205" si="202">1440*M193</f>
        <v>90</v>
      </c>
      <c r="T193" s="34">
        <f t="shared" ref="T193:T205" si="203">1440*N193</f>
        <v>699.00000000488944</v>
      </c>
      <c r="U193" s="34">
        <f t="shared" ref="U193:U205" si="204">1440*O193</f>
        <v>56.000000004423782</v>
      </c>
      <c r="V193" s="34">
        <f t="shared" ref="V193:V205" si="205">1440*P193</f>
        <v>612.9999999969732</v>
      </c>
    </row>
    <row r="194" spans="1:29">
      <c r="A194" s="92" t="s">
        <v>40</v>
      </c>
      <c r="B194" s="20" t="s">
        <v>578</v>
      </c>
      <c r="C194" s="21">
        <v>46200</v>
      </c>
      <c r="D194" s="18">
        <v>7.8472222222222221E-2</v>
      </c>
      <c r="E194" s="21">
        <v>46200</v>
      </c>
      <c r="F194" s="18">
        <v>0.19791666666666666</v>
      </c>
      <c r="G194" s="21">
        <v>46200</v>
      </c>
      <c r="H194" s="18">
        <v>0.76388888888888884</v>
      </c>
      <c r="I194" s="21">
        <v>46200</v>
      </c>
      <c r="J194" s="18">
        <v>0.79722222222222228</v>
      </c>
      <c r="M194" s="103">
        <f t="shared" si="198"/>
        <v>0.11944444444088731</v>
      </c>
      <c r="N194" s="103">
        <f t="shared" si="199"/>
        <v>0.56597222222626442</v>
      </c>
      <c r="O194" s="103">
        <f t="shared" si="200"/>
        <v>3.3333333332848269E-2</v>
      </c>
      <c r="P194" s="103">
        <f t="shared" si="201"/>
        <v>0.16458333333139308</v>
      </c>
      <c r="S194" s="34">
        <f t="shared" si="202"/>
        <v>171.99999999487773</v>
      </c>
      <c r="T194" s="34">
        <f t="shared" si="203"/>
        <v>815.00000000582077</v>
      </c>
      <c r="U194" s="34">
        <f t="shared" si="204"/>
        <v>47.999999999301508</v>
      </c>
      <c r="V194" s="34">
        <f t="shared" si="205"/>
        <v>236.99999999720603</v>
      </c>
    </row>
    <row r="195" spans="1:29" ht="15.75" thickBot="1">
      <c r="A195" s="102" t="s">
        <v>40</v>
      </c>
      <c r="B195" s="51" t="s">
        <v>578</v>
      </c>
      <c r="C195" s="45">
        <v>46200</v>
      </c>
      <c r="D195" s="46">
        <v>0.96180555555555558</v>
      </c>
      <c r="E195" s="45">
        <v>46201</v>
      </c>
      <c r="F195" s="46">
        <v>8.9583333333333334E-2</v>
      </c>
      <c r="G195" s="45">
        <v>46201</v>
      </c>
      <c r="H195" s="46">
        <v>0.64444444444444449</v>
      </c>
      <c r="I195" s="45">
        <v>46201</v>
      </c>
      <c r="J195" s="46">
        <v>0.6791666666666667</v>
      </c>
      <c r="M195" s="41">
        <f t="shared" si="198"/>
        <v>0.12777777777955635</v>
      </c>
      <c r="N195" s="41">
        <f>(G195+H195)-(E195+F195)</f>
        <v>0.55486111110803904</v>
      </c>
      <c r="O195" s="41">
        <f t="shared" si="200"/>
        <v>3.4722222226264421E-2</v>
      </c>
      <c r="P195" s="41">
        <f t="shared" si="201"/>
        <v>0.55486111110803904</v>
      </c>
      <c r="S195" s="90">
        <f t="shared" si="202"/>
        <v>184.00000000256114</v>
      </c>
      <c r="T195" s="90">
        <f>1440*N195</f>
        <v>798.99999999557622</v>
      </c>
      <c r="U195" s="90">
        <f t="shared" si="204"/>
        <v>50.000000005820766</v>
      </c>
      <c r="V195" s="90">
        <f t="shared" si="205"/>
        <v>798.99999999557622</v>
      </c>
    </row>
    <row r="196" spans="1:29" ht="15.75" thickBot="1">
      <c r="A196" s="101" t="s">
        <v>41</v>
      </c>
      <c r="B196" s="59" t="s">
        <v>596</v>
      </c>
      <c r="C196" s="21">
        <v>46202</v>
      </c>
      <c r="D196" s="18">
        <v>0.23402777777777781</v>
      </c>
      <c r="E196" s="21">
        <v>46202</v>
      </c>
      <c r="F196" s="18">
        <v>0.3611111111111111</v>
      </c>
      <c r="G196" s="21">
        <v>46202</v>
      </c>
      <c r="H196" s="18">
        <v>0.90763888888888888</v>
      </c>
      <c r="I196" s="21">
        <v>46202</v>
      </c>
      <c r="J196" s="18">
        <v>0.94444444444444442</v>
      </c>
      <c r="M196" s="67">
        <f t="shared" si="198"/>
        <v>0.12708333333284827</v>
      </c>
      <c r="N196" s="67">
        <f t="shared" si="199"/>
        <v>0.54652777777664596</v>
      </c>
      <c r="O196" s="67">
        <f t="shared" si="200"/>
        <v>3.680555555911269E-2</v>
      </c>
      <c r="P196" s="67">
        <f t="shared" si="201"/>
        <v>7.0138888884685002E-2</v>
      </c>
      <c r="S196" s="62">
        <f t="shared" si="202"/>
        <v>182.99999999930151</v>
      </c>
      <c r="T196" s="62">
        <f t="shared" si="203"/>
        <v>786.99999999837019</v>
      </c>
      <c r="U196" s="62">
        <f t="shared" si="204"/>
        <v>53.000000005122274</v>
      </c>
      <c r="V196" s="62">
        <f t="shared" si="205"/>
        <v>100.9999999939464</v>
      </c>
      <c r="X196" s="61" t="s">
        <v>86</v>
      </c>
      <c r="Y196" s="61">
        <v>10800</v>
      </c>
      <c r="Z196" s="63">
        <f>SUM(S196:S203)</f>
        <v>1759.0000000130385</v>
      </c>
      <c r="AA196" s="63">
        <f>SUM(T196:T203)</f>
        <v>5980.0000000046566</v>
      </c>
      <c r="AB196" s="63">
        <f>SUM(U196:U203)</f>
        <v>439.99999999883585</v>
      </c>
      <c r="AC196" s="63">
        <f>SUM(V196:V203)</f>
        <v>1504.9999999813735</v>
      </c>
    </row>
    <row r="197" spans="1:29" ht="15.75" thickBot="1">
      <c r="A197" s="92" t="s">
        <v>41</v>
      </c>
      <c r="B197" s="20" t="s">
        <v>596</v>
      </c>
      <c r="C197" s="21">
        <v>46203</v>
      </c>
      <c r="D197" s="18">
        <v>1.4583333333333334E-2</v>
      </c>
      <c r="E197" s="21">
        <v>46203</v>
      </c>
      <c r="F197" s="18">
        <v>0.13819444444444445</v>
      </c>
      <c r="G197" s="21">
        <v>46203</v>
      </c>
      <c r="H197" s="18">
        <v>0.6694444444444444</v>
      </c>
      <c r="I197" s="21">
        <v>46203</v>
      </c>
      <c r="J197" s="18">
        <v>0.71597222222222223</v>
      </c>
      <c r="M197" s="103">
        <f t="shared" si="198"/>
        <v>0.12361111111385981</v>
      </c>
      <c r="N197" s="103">
        <f t="shared" si="199"/>
        <v>0.53125</v>
      </c>
      <c r="O197" s="103">
        <f t="shared" si="200"/>
        <v>4.6527777776645962E-2</v>
      </c>
      <c r="P197" s="103">
        <f t="shared" si="201"/>
        <v>0.16319444444525288</v>
      </c>
      <c r="S197" s="34">
        <f>1440*M197</f>
        <v>178.00000000395812</v>
      </c>
      <c r="T197" s="34">
        <f t="shared" si="203"/>
        <v>765</v>
      </c>
      <c r="U197" s="34">
        <f t="shared" si="204"/>
        <v>66.999999998370185</v>
      </c>
      <c r="V197" s="34">
        <f t="shared" si="205"/>
        <v>235.00000000116415</v>
      </c>
      <c r="Z197" s="65">
        <f>(Z196/Y196)*100</f>
        <v>16.287037037157763</v>
      </c>
      <c r="AA197" s="68">
        <f>(AA196/Y196)*100</f>
        <v>55.37037037041349</v>
      </c>
      <c r="AB197" s="65">
        <f>(AB196/Y196)*100</f>
        <v>4.0740740740632946</v>
      </c>
      <c r="AC197" s="66">
        <f>(AC196/Y196)*100</f>
        <v>13.935185185012719</v>
      </c>
    </row>
    <row r="198" spans="1:29">
      <c r="A198" s="92" t="s">
        <v>41</v>
      </c>
      <c r="B198" s="20" t="s">
        <v>596</v>
      </c>
      <c r="C198" s="21">
        <v>46203</v>
      </c>
      <c r="D198" s="18">
        <v>0.87916666666666665</v>
      </c>
      <c r="E198" s="21">
        <v>46204</v>
      </c>
      <c r="F198" s="18">
        <v>1.6666666666666666E-2</v>
      </c>
      <c r="G198" s="21">
        <v>46204</v>
      </c>
      <c r="H198" s="18">
        <v>0.54791666666666672</v>
      </c>
      <c r="I198" s="21">
        <v>46204</v>
      </c>
      <c r="J198" s="18">
        <v>0.57708333333333328</v>
      </c>
      <c r="M198" s="103">
        <f t="shared" si="198"/>
        <v>0.13750000000436557</v>
      </c>
      <c r="N198" s="103">
        <f t="shared" si="199"/>
        <v>0.53125</v>
      </c>
      <c r="O198" s="103">
        <f t="shared" si="200"/>
        <v>2.9166666659875773E-2</v>
      </c>
      <c r="P198" s="103">
        <f t="shared" si="201"/>
        <v>0.37291666666715173</v>
      </c>
      <c r="S198" s="34">
        <f t="shared" si="202"/>
        <v>198.00000000628643</v>
      </c>
      <c r="T198" s="34">
        <f t="shared" si="203"/>
        <v>765</v>
      </c>
      <c r="U198" s="34">
        <f t="shared" si="204"/>
        <v>41.999999990221113</v>
      </c>
      <c r="V198" s="34">
        <f t="shared" si="205"/>
        <v>537.00000000069849</v>
      </c>
    </row>
    <row r="199" spans="1:29">
      <c r="A199" s="92" t="s">
        <v>41</v>
      </c>
      <c r="B199" s="20" t="s">
        <v>596</v>
      </c>
      <c r="C199" s="21">
        <v>46204</v>
      </c>
      <c r="D199" s="18">
        <v>0.95</v>
      </c>
      <c r="E199" s="21">
        <v>46205</v>
      </c>
      <c r="F199" s="18">
        <v>0.27916666666666667</v>
      </c>
      <c r="G199" s="21">
        <v>46205</v>
      </c>
      <c r="H199" s="18">
        <v>0.80486111111111114</v>
      </c>
      <c r="I199" s="21">
        <v>46205</v>
      </c>
      <c r="J199" s="18">
        <v>0.84097222222222223</v>
      </c>
      <c r="M199" s="103">
        <f t="shared" si="198"/>
        <v>0.32916666667006211</v>
      </c>
      <c r="N199" s="103">
        <f t="shared" si="199"/>
        <v>0.52569444444088731</v>
      </c>
      <c r="O199" s="103">
        <f t="shared" si="200"/>
        <v>3.6111111112404615E-2</v>
      </c>
      <c r="P199" s="103">
        <f t="shared" si="201"/>
        <v>8.4722222221898846E-2</v>
      </c>
      <c r="S199" s="34">
        <f t="shared" si="202"/>
        <v>474.00000000488944</v>
      </c>
      <c r="T199" s="34">
        <f t="shared" si="203"/>
        <v>756.99999999487773</v>
      </c>
      <c r="U199" s="34">
        <f t="shared" si="204"/>
        <v>52.000000001862645</v>
      </c>
      <c r="V199" s="34">
        <f t="shared" si="205"/>
        <v>121.99999999953434</v>
      </c>
    </row>
    <row r="200" spans="1:29">
      <c r="A200" s="92" t="s">
        <v>41</v>
      </c>
      <c r="B200" s="20" t="s">
        <v>596</v>
      </c>
      <c r="C200" s="21">
        <v>46205</v>
      </c>
      <c r="D200" s="18">
        <v>0.92569444444444449</v>
      </c>
      <c r="E200" s="21">
        <v>46206</v>
      </c>
      <c r="F200" s="18">
        <v>4.8611111111111112E-2</v>
      </c>
      <c r="G200" s="21">
        <v>46206</v>
      </c>
      <c r="H200" s="18">
        <v>0.59027777777777779</v>
      </c>
      <c r="I200" s="21">
        <v>46206</v>
      </c>
      <c r="J200" s="18">
        <v>0.63402777777777775</v>
      </c>
      <c r="M200" s="103">
        <f t="shared" si="198"/>
        <v>0.12291666666715173</v>
      </c>
      <c r="N200" s="103">
        <f t="shared" si="199"/>
        <v>0.54166666667151731</v>
      </c>
      <c r="O200" s="103">
        <f t="shared" si="200"/>
        <v>4.3749999997089617E-2</v>
      </c>
      <c r="P200" s="103">
        <f t="shared" si="201"/>
        <v>0.11041666666278616</v>
      </c>
      <c r="S200" s="34">
        <f t="shared" si="202"/>
        <v>177.00000000069849</v>
      </c>
      <c r="T200" s="34">
        <f t="shared" si="203"/>
        <v>780.00000000698492</v>
      </c>
      <c r="U200" s="34">
        <f t="shared" si="204"/>
        <v>62.999999995809048</v>
      </c>
      <c r="V200" s="34">
        <f t="shared" si="205"/>
        <v>158.99999999441206</v>
      </c>
    </row>
    <row r="201" spans="1:29">
      <c r="A201" s="92" t="s">
        <v>41</v>
      </c>
      <c r="B201" s="20" t="s">
        <v>596</v>
      </c>
      <c r="C201" s="21">
        <v>46206</v>
      </c>
      <c r="D201" s="18">
        <v>0.74444444444444446</v>
      </c>
      <c r="E201" s="21">
        <v>46206</v>
      </c>
      <c r="F201" s="18">
        <v>0.87638888888888888</v>
      </c>
      <c r="G201" s="21">
        <v>46207</v>
      </c>
      <c r="H201" s="18">
        <v>0.23333333333333334</v>
      </c>
      <c r="I201" s="21">
        <v>46207</v>
      </c>
      <c r="J201" s="18">
        <v>0.27430555555555558</v>
      </c>
      <c r="M201" s="103">
        <f t="shared" si="198"/>
        <v>0.13194444444525288</v>
      </c>
      <c r="N201" s="103">
        <f t="shared" si="199"/>
        <v>0.35694444444379769</v>
      </c>
      <c r="O201" s="103">
        <f t="shared" si="200"/>
        <v>4.0972222224809229E-2</v>
      </c>
      <c r="P201" s="103">
        <f t="shared" si="201"/>
        <v>8.4027777775190771E-2</v>
      </c>
      <c r="S201" s="34">
        <f t="shared" si="202"/>
        <v>190.00000000116415</v>
      </c>
      <c r="T201" s="34">
        <f t="shared" si="203"/>
        <v>513.99999999906868</v>
      </c>
      <c r="U201" s="34">
        <f t="shared" si="204"/>
        <v>59.00000000372529</v>
      </c>
      <c r="V201" s="34">
        <f t="shared" si="205"/>
        <v>120.99999999627471</v>
      </c>
    </row>
    <row r="202" spans="1:29">
      <c r="A202" s="92" t="s">
        <v>41</v>
      </c>
      <c r="B202" s="20" t="s">
        <v>596</v>
      </c>
      <c r="C202" s="21">
        <v>46207</v>
      </c>
      <c r="D202" s="18">
        <v>0.35833333333333334</v>
      </c>
      <c r="E202" s="21">
        <v>46207</v>
      </c>
      <c r="F202" s="18">
        <v>0.48402777777777778</v>
      </c>
      <c r="G202" s="21">
        <v>46208</v>
      </c>
      <c r="H202" s="18">
        <v>4.6527777777777779E-2</v>
      </c>
      <c r="I202" s="21">
        <v>46208</v>
      </c>
      <c r="J202" s="18">
        <v>8.1250000000000003E-2</v>
      </c>
      <c r="M202" s="103">
        <f>(E202+F202)-(C202+D202)</f>
        <v>0.12569444444670808</v>
      </c>
      <c r="N202" s="103">
        <f t="shared" si="199"/>
        <v>0.5625</v>
      </c>
      <c r="O202" s="103">
        <f t="shared" si="200"/>
        <v>3.4722222226264421E-2</v>
      </c>
      <c r="P202" s="103">
        <f t="shared" si="201"/>
        <v>7.9861111109494232E-2</v>
      </c>
      <c r="S202" s="34">
        <f>1440*M202</f>
        <v>181.00000000325963</v>
      </c>
      <c r="T202" s="34">
        <f t="shared" si="203"/>
        <v>810</v>
      </c>
      <c r="U202" s="34">
        <f t="shared" si="204"/>
        <v>50.000000005820766</v>
      </c>
      <c r="V202" s="34">
        <f t="shared" si="205"/>
        <v>114.99999999767169</v>
      </c>
    </row>
    <row r="203" spans="1:29" ht="15.75" thickBot="1">
      <c r="A203" s="102" t="s">
        <v>41</v>
      </c>
      <c r="B203" s="51" t="s">
        <v>596</v>
      </c>
      <c r="C203" s="45">
        <v>46208</v>
      </c>
      <c r="D203" s="46">
        <v>0.16111111111111112</v>
      </c>
      <c r="E203" s="45">
        <v>46208</v>
      </c>
      <c r="F203" s="46">
        <v>0.28472222222222221</v>
      </c>
      <c r="G203" s="45">
        <v>46208</v>
      </c>
      <c r="H203" s="46">
        <v>0.84166666666666667</v>
      </c>
      <c r="I203" s="45">
        <v>46208</v>
      </c>
      <c r="J203" s="46">
        <v>0.87916666666666665</v>
      </c>
      <c r="M203" s="41">
        <f t="shared" si="198"/>
        <v>0.12361111110658385</v>
      </c>
      <c r="N203" s="41">
        <f t="shared" si="199"/>
        <v>0.55694444444816327</v>
      </c>
      <c r="O203" s="41">
        <f>(I203+J203)-(G203+H203)</f>
        <v>3.7499999998544808E-2</v>
      </c>
      <c r="P203" s="41">
        <f t="shared" si="201"/>
        <v>7.9861111109494232E-2</v>
      </c>
      <c r="S203" s="90">
        <f t="shared" si="202"/>
        <v>177.99999999348074</v>
      </c>
      <c r="T203" s="90">
        <f t="shared" si="203"/>
        <v>802.0000000053551</v>
      </c>
      <c r="U203" s="90">
        <f t="shared" si="204"/>
        <v>53.999999997904524</v>
      </c>
      <c r="V203" s="90">
        <f t="shared" si="205"/>
        <v>114.99999999767169</v>
      </c>
    </row>
    <row r="204" spans="1:29" ht="15.75" thickBot="1">
      <c r="A204" s="101" t="s">
        <v>42</v>
      </c>
      <c r="B204" s="59" t="s">
        <v>610</v>
      </c>
      <c r="C204" s="21">
        <v>46208</v>
      </c>
      <c r="D204" s="74">
        <v>0.95902777777777781</v>
      </c>
      <c r="E204" s="21">
        <v>46209</v>
      </c>
      <c r="F204" s="74">
        <v>9.7222222222222224E-2</v>
      </c>
      <c r="G204" s="21">
        <v>46209</v>
      </c>
      <c r="H204" s="74">
        <v>0.68194444444444446</v>
      </c>
      <c r="I204" s="21">
        <v>46209</v>
      </c>
      <c r="J204" s="74">
        <v>0.72638888888888886</v>
      </c>
      <c r="M204" s="67">
        <f t="shared" si="198"/>
        <v>0.13819444444379769</v>
      </c>
      <c r="N204" s="67">
        <f t="shared" si="199"/>
        <v>0.58472222222189885</v>
      </c>
      <c r="O204" s="67">
        <f t="shared" si="200"/>
        <v>4.444444445107365E-2</v>
      </c>
      <c r="P204" s="67">
        <f t="shared" si="201"/>
        <v>9.0277777773735579E-2</v>
      </c>
      <c r="S204" s="62">
        <f t="shared" si="202"/>
        <v>198.99999999906868</v>
      </c>
      <c r="T204" s="62">
        <f t="shared" si="203"/>
        <v>841.99999999953434</v>
      </c>
      <c r="U204" s="62">
        <f t="shared" si="204"/>
        <v>64.000000009546056</v>
      </c>
      <c r="V204" s="62">
        <f t="shared" si="205"/>
        <v>129.99999999417923</v>
      </c>
      <c r="X204" s="61" t="s">
        <v>86</v>
      </c>
      <c r="Y204" s="61">
        <v>10800</v>
      </c>
      <c r="Z204" s="63">
        <f>SUM(S204:S212)</f>
        <v>1690.0000000081491</v>
      </c>
      <c r="AA204" s="63">
        <f>SUM(T204:T212)</f>
        <v>6039.9999999802094</v>
      </c>
      <c r="AB204" s="63">
        <f t="shared" ref="AB204:AC204" si="206">SUM(U204:U212)</f>
        <v>1188.0000000272412</v>
      </c>
      <c r="AC204" s="63">
        <f t="shared" si="206"/>
        <v>1462.9999999911524</v>
      </c>
    </row>
    <row r="205" spans="1:29" ht="15.75" thickBot="1">
      <c r="A205" s="92" t="s">
        <v>42</v>
      </c>
      <c r="B205" s="59" t="s">
        <v>610</v>
      </c>
      <c r="C205" s="21">
        <v>46209</v>
      </c>
      <c r="D205" s="18">
        <v>0.81666666666666665</v>
      </c>
      <c r="E205" s="21">
        <v>46209</v>
      </c>
      <c r="F205" s="18">
        <v>0.94305555555555554</v>
      </c>
      <c r="G205" s="21">
        <v>46210</v>
      </c>
      <c r="H205" s="18">
        <v>0.50486111111111109</v>
      </c>
      <c r="I205" s="21">
        <v>46210</v>
      </c>
      <c r="J205" s="18">
        <v>0.53680555555555554</v>
      </c>
      <c r="M205" s="103">
        <f t="shared" si="198"/>
        <v>0.12638888889341615</v>
      </c>
      <c r="N205" s="103">
        <f t="shared" si="199"/>
        <v>0.56180555555329192</v>
      </c>
      <c r="O205" s="103">
        <f t="shared" si="200"/>
        <v>3.1944444446708076E-2</v>
      </c>
      <c r="P205" s="103">
        <f t="shared" si="201"/>
        <v>0.28263888888614019</v>
      </c>
      <c r="S205" s="34">
        <f t="shared" si="202"/>
        <v>182.00000000651926</v>
      </c>
      <c r="T205" s="34">
        <f t="shared" si="203"/>
        <v>808.99999999674037</v>
      </c>
      <c r="U205" s="34">
        <f t="shared" si="204"/>
        <v>46.000000003259629</v>
      </c>
      <c r="V205" s="34">
        <f t="shared" si="205"/>
        <v>406.99999999604188</v>
      </c>
      <c r="Z205" s="65">
        <f>(Z204/Y204)*100</f>
        <v>15.648148148223603</v>
      </c>
      <c r="AA205" s="68">
        <f>(AA204/Y204)*100</f>
        <v>55.925925925742682</v>
      </c>
      <c r="AB205" s="65">
        <f>(AB204/Y204)*100</f>
        <v>11.000000000252234</v>
      </c>
      <c r="AC205" s="66">
        <f>(AC204/Y204)*100</f>
        <v>13.546296296214374</v>
      </c>
    </row>
    <row r="206" spans="1:29">
      <c r="A206" s="92" t="s">
        <v>42</v>
      </c>
      <c r="B206" s="59" t="s">
        <v>610</v>
      </c>
      <c r="C206" s="21">
        <v>46210</v>
      </c>
      <c r="D206" s="18">
        <v>0.81944444444444442</v>
      </c>
      <c r="E206" s="21">
        <v>46210</v>
      </c>
      <c r="F206" s="18">
        <v>0.90208333333333335</v>
      </c>
      <c r="G206" s="21">
        <v>46211</v>
      </c>
      <c r="H206" s="18">
        <v>0.31666666666666665</v>
      </c>
      <c r="I206" s="21">
        <v>46211</v>
      </c>
      <c r="J206" s="18">
        <v>0.35347222222222224</v>
      </c>
      <c r="M206" s="103">
        <f t="shared" ref="M206:M214" si="207">(E206+F206)-(C206+D206)</f>
        <v>8.2638888889050577E-2</v>
      </c>
      <c r="N206" s="103">
        <f t="shared" ref="N206:N214" si="208">(G206+H206)-(E206+F206)</f>
        <v>0.41458333333139308</v>
      </c>
      <c r="O206" s="103">
        <f t="shared" ref="O206:O214" si="209">(I206+J206)-(G206+H206)</f>
        <v>3.680555555911269E-2</v>
      </c>
      <c r="P206" s="103">
        <f t="shared" ref="P206:P214" si="210">(C207+D207)-(I206+J206)</f>
        <v>6.5972222218988463E-2</v>
      </c>
      <c r="S206" s="34">
        <f t="shared" ref="S206:S214" si="211">1440*M206</f>
        <v>119.00000000023283</v>
      </c>
      <c r="T206" s="34">
        <f t="shared" ref="T206:T214" si="212">1440*N206</f>
        <v>596.99999999720603</v>
      </c>
      <c r="U206" s="34">
        <f t="shared" ref="U206:U214" si="213">1440*O206</f>
        <v>53.000000005122274</v>
      </c>
      <c r="V206" s="34">
        <f t="shared" ref="V206:V214" si="214">1440*P206</f>
        <v>94.999999995343387</v>
      </c>
    </row>
    <row r="207" spans="1:29">
      <c r="A207" s="92" t="s">
        <v>42</v>
      </c>
      <c r="B207" s="59" t="s">
        <v>610</v>
      </c>
      <c r="C207" s="21">
        <v>46211</v>
      </c>
      <c r="D207" s="18">
        <v>0.41944444444444445</v>
      </c>
      <c r="E207" s="21">
        <v>46211</v>
      </c>
      <c r="F207" s="18">
        <v>0.55694444444444446</v>
      </c>
      <c r="G207" s="21">
        <v>46211</v>
      </c>
      <c r="H207" s="18">
        <v>0.98124999999999996</v>
      </c>
      <c r="I207" s="21">
        <v>46212</v>
      </c>
      <c r="J207" s="18">
        <v>0.47499999999999998</v>
      </c>
      <c r="M207" s="103">
        <f t="shared" si="207"/>
        <v>0.13749999999708962</v>
      </c>
      <c r="N207" s="103">
        <f t="shared" si="208"/>
        <v>0.42430555555620231</v>
      </c>
      <c r="O207" s="103">
        <f t="shared" si="209"/>
        <v>0.49375000000145519</v>
      </c>
      <c r="P207" s="103">
        <f t="shared" si="210"/>
        <v>7.5000000004365575E-2</v>
      </c>
      <c r="S207" s="34">
        <f t="shared" si="211"/>
        <v>197.99999999580905</v>
      </c>
      <c r="T207" s="34">
        <f t="shared" si="212"/>
        <v>611.00000000093132</v>
      </c>
      <c r="U207" s="34">
        <f t="shared" si="213"/>
        <v>711.00000000209548</v>
      </c>
      <c r="V207" s="34">
        <f t="shared" si="214"/>
        <v>108.00000000628643</v>
      </c>
    </row>
    <row r="208" spans="1:29">
      <c r="A208" s="92" t="s">
        <v>42</v>
      </c>
      <c r="B208" s="59" t="s">
        <v>610</v>
      </c>
      <c r="C208" s="21">
        <v>46212</v>
      </c>
      <c r="D208" s="18">
        <v>0.55000000000000004</v>
      </c>
      <c r="E208" s="21">
        <v>46212</v>
      </c>
      <c r="F208" s="18">
        <v>0.67291666666666672</v>
      </c>
      <c r="G208" s="21">
        <v>46213</v>
      </c>
      <c r="H208" s="18">
        <v>7.5694444444444439E-2</v>
      </c>
      <c r="I208" s="21">
        <v>46213</v>
      </c>
      <c r="J208" s="18">
        <v>0.12986111111111112</v>
      </c>
      <c r="M208" s="103">
        <f t="shared" si="207"/>
        <v>0.12291666666715173</v>
      </c>
      <c r="N208" s="103">
        <f t="shared" si="208"/>
        <v>0.40277777777373558</v>
      </c>
      <c r="O208" s="103">
        <f t="shared" si="209"/>
        <v>5.4166666668606922E-2</v>
      </c>
      <c r="P208" s="103">
        <f t="shared" si="210"/>
        <v>4.3055555557657499E-2</v>
      </c>
      <c r="S208" s="34">
        <f t="shared" si="211"/>
        <v>177.00000000069849</v>
      </c>
      <c r="T208" s="34">
        <f t="shared" si="212"/>
        <v>579.99999999417923</v>
      </c>
      <c r="U208" s="34">
        <f t="shared" si="213"/>
        <v>78.000000002793968</v>
      </c>
      <c r="V208" s="34">
        <f t="shared" si="214"/>
        <v>62.000000003026798</v>
      </c>
    </row>
    <row r="209" spans="1:29">
      <c r="A209" s="92" t="s">
        <v>42</v>
      </c>
      <c r="B209" s="59" t="s">
        <v>610</v>
      </c>
      <c r="C209" s="21">
        <v>46213</v>
      </c>
      <c r="D209" s="18">
        <v>0.17291666666666666</v>
      </c>
      <c r="E209" s="21">
        <v>46213</v>
      </c>
      <c r="F209" s="18">
        <v>0.4</v>
      </c>
      <c r="G209" s="21">
        <v>46213</v>
      </c>
      <c r="H209" s="18">
        <v>0.7319444444444444</v>
      </c>
      <c r="I209" s="21">
        <v>46213</v>
      </c>
      <c r="J209" s="18">
        <v>0.79236111111111107</v>
      </c>
      <c r="M209" s="103">
        <f t="shared" si="207"/>
        <v>0.22708333333139308</v>
      </c>
      <c r="N209" s="103">
        <f t="shared" si="208"/>
        <v>0.3319444444423425</v>
      </c>
      <c r="O209" s="103">
        <f t="shared" si="209"/>
        <v>6.0416666667151731E-2</v>
      </c>
      <c r="P209" s="103">
        <f t="shared" si="210"/>
        <v>9.0972222220443655E-2</v>
      </c>
      <c r="S209" s="34">
        <f t="shared" si="211"/>
        <v>326.99999999720603</v>
      </c>
      <c r="T209" s="34">
        <f t="shared" si="212"/>
        <v>477.9999999969732</v>
      </c>
      <c r="U209" s="34">
        <f t="shared" si="213"/>
        <v>87.000000000698492</v>
      </c>
      <c r="V209" s="34">
        <f t="shared" si="214"/>
        <v>130.99999999743886</v>
      </c>
    </row>
    <row r="210" spans="1:29">
      <c r="A210" s="92" t="s">
        <v>42</v>
      </c>
      <c r="B210" s="59" t="s">
        <v>610</v>
      </c>
      <c r="C210" s="21">
        <v>46213</v>
      </c>
      <c r="D210" s="18">
        <v>0.8833333333333333</v>
      </c>
      <c r="E210" s="21">
        <v>46214</v>
      </c>
      <c r="F210" s="18">
        <v>2.2916666666666665E-2</v>
      </c>
      <c r="G210" s="21">
        <v>46214</v>
      </c>
      <c r="H210" s="18">
        <v>0.5083333333333333</v>
      </c>
      <c r="I210" s="21">
        <v>46214</v>
      </c>
      <c r="J210" s="18">
        <v>0.54374999999999996</v>
      </c>
      <c r="M210" s="103">
        <f>(E210+F210)-(C210+D210)</f>
        <v>0.13958333333721384</v>
      </c>
      <c r="N210" s="103">
        <f t="shared" si="208"/>
        <v>0.48541666666278616</v>
      </c>
      <c r="O210" s="103">
        <f t="shared" si="209"/>
        <v>3.5416666665696539E-2</v>
      </c>
      <c r="P210" s="103">
        <f t="shared" si="210"/>
        <v>0.21666666666715173</v>
      </c>
      <c r="S210" s="34">
        <f t="shared" si="211"/>
        <v>201.00000000558794</v>
      </c>
      <c r="T210" s="34">
        <f t="shared" si="212"/>
        <v>698.99999999441206</v>
      </c>
      <c r="U210" s="34">
        <f t="shared" si="213"/>
        <v>50.999999998603016</v>
      </c>
      <c r="V210" s="34">
        <f t="shared" si="214"/>
        <v>312.00000000069849</v>
      </c>
    </row>
    <row r="211" spans="1:29">
      <c r="A211" s="92" t="s">
        <v>42</v>
      </c>
      <c r="B211" s="59" t="s">
        <v>610</v>
      </c>
      <c r="C211" s="21">
        <v>46214</v>
      </c>
      <c r="D211" s="18">
        <v>0.76041666666666663</v>
      </c>
      <c r="E211" s="21">
        <v>46214</v>
      </c>
      <c r="F211" s="18">
        <v>0.84861111111111109</v>
      </c>
      <c r="G211" s="21">
        <v>46215</v>
      </c>
      <c r="H211" s="18">
        <v>0.41458333333333336</v>
      </c>
      <c r="I211" s="21">
        <v>46215</v>
      </c>
      <c r="J211" s="18">
        <v>0.4513888888888889</v>
      </c>
      <c r="M211" s="103">
        <f t="shared" si="207"/>
        <v>8.8194444448163267E-2</v>
      </c>
      <c r="N211" s="103">
        <f t="shared" si="208"/>
        <v>0.56597222221898846</v>
      </c>
      <c r="O211" s="103">
        <f t="shared" si="209"/>
        <v>3.680555555911269E-2</v>
      </c>
      <c r="P211" s="103">
        <f t="shared" si="210"/>
        <v>9.7222222218988463E-2</v>
      </c>
      <c r="S211" s="34">
        <f t="shared" si="211"/>
        <v>127.0000000053551</v>
      </c>
      <c r="T211" s="34">
        <f t="shared" si="212"/>
        <v>814.99999999534339</v>
      </c>
      <c r="U211" s="34">
        <f t="shared" si="213"/>
        <v>53.000000005122274</v>
      </c>
      <c r="V211" s="34">
        <f t="shared" si="214"/>
        <v>139.99999999534339</v>
      </c>
    </row>
    <row r="212" spans="1:29" ht="15.75" thickBot="1">
      <c r="A212" s="102" t="s">
        <v>42</v>
      </c>
      <c r="B212" s="51" t="s">
        <v>610</v>
      </c>
      <c r="C212" s="45">
        <v>46215</v>
      </c>
      <c r="D212" s="46">
        <v>0.54861111111111116</v>
      </c>
      <c r="E212" s="45">
        <v>46215</v>
      </c>
      <c r="F212" s="46">
        <v>0.65972222222222221</v>
      </c>
      <c r="G212" s="45">
        <v>46216</v>
      </c>
      <c r="H212" s="46">
        <v>8.2638888888888887E-2</v>
      </c>
      <c r="I212" s="45">
        <v>46216</v>
      </c>
      <c r="J212" s="46">
        <v>0.11388888888888889</v>
      </c>
      <c r="M212" s="41">
        <f t="shared" si="207"/>
        <v>0.11111111110949423</v>
      </c>
      <c r="N212" s="41">
        <f t="shared" si="208"/>
        <v>0.42291666667006211</v>
      </c>
      <c r="O212" s="41">
        <f t="shared" si="209"/>
        <v>3.125E-2</v>
      </c>
      <c r="P212" s="41">
        <f t="shared" si="210"/>
        <v>5.4166666668606922E-2</v>
      </c>
      <c r="S212" s="90">
        <f t="shared" si="211"/>
        <v>159.99999999767169</v>
      </c>
      <c r="T212" s="90">
        <f t="shared" si="212"/>
        <v>609.00000000488944</v>
      </c>
      <c r="U212" s="90">
        <f t="shared" si="213"/>
        <v>45</v>
      </c>
      <c r="V212" s="90">
        <f t="shared" si="214"/>
        <v>78.000000002793968</v>
      </c>
    </row>
    <row r="213" spans="1:29" ht="15.75" thickBot="1">
      <c r="A213" s="101" t="s">
        <v>43</v>
      </c>
      <c r="B213" s="59" t="s">
        <v>629</v>
      </c>
      <c r="C213" s="177">
        <v>46216</v>
      </c>
      <c r="D213" s="178">
        <v>0.16805555555555557</v>
      </c>
      <c r="E213" s="177">
        <v>46216</v>
      </c>
      <c r="F213" s="178">
        <v>0.24930555555555556</v>
      </c>
      <c r="G213" s="177">
        <v>46216</v>
      </c>
      <c r="H213" s="178">
        <v>0.49236111111111114</v>
      </c>
      <c r="I213" s="177">
        <v>46216</v>
      </c>
      <c r="J213" s="178">
        <v>0.52083333333333337</v>
      </c>
      <c r="M213" s="67">
        <f t="shared" si="207"/>
        <v>8.1249999995634425E-2</v>
      </c>
      <c r="N213" s="67">
        <f t="shared" si="208"/>
        <v>0.24305555555474712</v>
      </c>
      <c r="O213" s="67">
        <f>(I213+J213)-(G213+H213)</f>
        <v>2.8472222227719612E-2</v>
      </c>
      <c r="P213" s="67">
        <f t="shared" si="210"/>
        <v>0.36944444444088731</v>
      </c>
      <c r="S213" s="62">
        <f t="shared" si="211"/>
        <v>116.99999999371357</v>
      </c>
      <c r="T213" s="62">
        <f t="shared" si="212"/>
        <v>349.99999999883585</v>
      </c>
      <c r="U213" s="62">
        <f t="shared" si="213"/>
        <v>41.000000007916242</v>
      </c>
      <c r="V213" s="62">
        <f t="shared" si="214"/>
        <v>531.99999999487773</v>
      </c>
      <c r="X213" s="61" t="s">
        <v>86</v>
      </c>
      <c r="Y213" s="61">
        <v>10800</v>
      </c>
      <c r="Z213" s="63">
        <f>SUM(S213:S221)</f>
        <v>1521.9999999948777</v>
      </c>
      <c r="AA213" s="63">
        <f t="shared" ref="AA213" si="215">SUM(T213:T221)</f>
        <v>5597.999999995809</v>
      </c>
      <c r="AB213" s="63">
        <f>SUM(U213:U221)</f>
        <v>433.00000001792796</v>
      </c>
      <c r="AC213" s="63">
        <f>SUM(V213:V221)</f>
        <v>3073.9999999932479</v>
      </c>
    </row>
    <row r="214" spans="1:29" ht="15.75" thickBot="1">
      <c r="A214" s="92" t="s">
        <v>43</v>
      </c>
      <c r="B214" s="20" t="s">
        <v>629</v>
      </c>
      <c r="C214" s="142">
        <v>46216</v>
      </c>
      <c r="D214" s="18">
        <v>0.89027777777777772</v>
      </c>
      <c r="E214" s="142">
        <v>46217</v>
      </c>
      <c r="F214" s="18">
        <v>1.7361111111111112E-2</v>
      </c>
      <c r="G214" s="142">
        <v>46217</v>
      </c>
      <c r="H214" s="18">
        <v>0.2951388888888889</v>
      </c>
      <c r="I214" s="142">
        <v>46217</v>
      </c>
      <c r="J214" s="18">
        <v>0.33333333333333331</v>
      </c>
      <c r="M214" s="103">
        <f t="shared" si="207"/>
        <v>0.12708333333284827</v>
      </c>
      <c r="N214" s="103">
        <f t="shared" si="208"/>
        <v>0.27777777778101154</v>
      </c>
      <c r="O214" s="103">
        <f t="shared" si="209"/>
        <v>3.8194444445252884E-2</v>
      </c>
      <c r="P214" s="103">
        <f t="shared" si="210"/>
        <v>0.35763888888322981</v>
      </c>
      <c r="S214" s="34">
        <f t="shared" si="211"/>
        <v>182.99999999930151</v>
      </c>
      <c r="T214" s="34">
        <f t="shared" si="212"/>
        <v>400.00000000465661</v>
      </c>
      <c r="U214" s="34">
        <f t="shared" si="213"/>
        <v>55.000000001164153</v>
      </c>
      <c r="V214" s="34">
        <f t="shared" si="214"/>
        <v>514.99999999185093</v>
      </c>
      <c r="Z214" s="65">
        <f>(Z213/Y213)*100</f>
        <v>14.092592592545165</v>
      </c>
      <c r="AA214" s="68">
        <f>(AA213/Y213)*100</f>
        <v>51.833333333294526</v>
      </c>
      <c r="AB214" s="65">
        <f>(AB213/Y213)*100</f>
        <v>4.0092592594252592</v>
      </c>
      <c r="AC214" s="66">
        <f>(AC213/Y213)*100</f>
        <v>28.462962962900445</v>
      </c>
    </row>
    <row r="215" spans="1:29">
      <c r="A215" s="92" t="s">
        <v>43</v>
      </c>
      <c r="B215" s="20" t="s">
        <v>629</v>
      </c>
      <c r="C215" s="142">
        <v>46217</v>
      </c>
      <c r="D215" s="74">
        <v>0.69097222222222221</v>
      </c>
      <c r="E215" s="142">
        <v>46217</v>
      </c>
      <c r="F215" s="74">
        <v>0.80347222222222225</v>
      </c>
      <c r="G215" s="142">
        <v>46218</v>
      </c>
      <c r="H215" s="74">
        <v>0.43194444444444446</v>
      </c>
      <c r="I215" s="142">
        <v>46218</v>
      </c>
      <c r="J215" s="74">
        <v>0.46736111111111112</v>
      </c>
      <c r="M215" s="103">
        <f t="shared" ref="M215:M223" si="216">(E215+F215)-(C215+D215)</f>
        <v>0.11250000000291038</v>
      </c>
      <c r="N215" s="103">
        <f t="shared" ref="N215:N223" si="217">(G215+H215)-(E215+F215)</f>
        <v>0.62847222221898846</v>
      </c>
      <c r="O215" s="103">
        <f t="shared" ref="O215:O223" si="218">(I215+J215)-(G215+H215)</f>
        <v>3.5416666672972497E-2</v>
      </c>
      <c r="P215" s="103">
        <f t="shared" ref="P215:P223" si="219">(C216+D216)-(I215+J215)</f>
        <v>7.1527777778101154E-2</v>
      </c>
      <c r="S215" s="34">
        <f t="shared" ref="S215:S223" si="220">1440*M215</f>
        <v>162.00000000419095</v>
      </c>
      <c r="T215" s="34">
        <f t="shared" ref="T215:T223" si="221">1440*N215</f>
        <v>904.99999999534339</v>
      </c>
      <c r="U215" s="34">
        <f t="shared" ref="U215:U223" si="222">1440*O215</f>
        <v>51.000000009080395</v>
      </c>
      <c r="V215" s="34">
        <f t="shared" ref="V215:V223" si="223">1440*P215</f>
        <v>103.00000000046566</v>
      </c>
    </row>
    <row r="216" spans="1:29">
      <c r="A216" s="92" t="s">
        <v>43</v>
      </c>
      <c r="B216" s="20" t="s">
        <v>629</v>
      </c>
      <c r="C216" s="142">
        <v>46218</v>
      </c>
      <c r="D216" s="18">
        <v>0.53888888888888886</v>
      </c>
      <c r="E216" s="142">
        <v>46218</v>
      </c>
      <c r="F216" s="18">
        <v>0.67013888888888884</v>
      </c>
      <c r="G216" s="142">
        <v>46219</v>
      </c>
      <c r="H216" s="18">
        <v>0.28819444444444442</v>
      </c>
      <c r="I216" s="142">
        <v>46219</v>
      </c>
      <c r="J216" s="18">
        <v>0.33333333333333331</v>
      </c>
      <c r="M216" s="103">
        <f t="shared" si="216"/>
        <v>0.13124999999854481</v>
      </c>
      <c r="N216" s="103">
        <f t="shared" si="217"/>
        <v>0.61805555555474712</v>
      </c>
      <c r="O216" s="103">
        <f t="shared" si="218"/>
        <v>4.5138888890505768E-2</v>
      </c>
      <c r="P216" s="103">
        <f t="shared" si="219"/>
        <v>0.14791666666133096</v>
      </c>
      <c r="S216" s="34">
        <f t="shared" si="220"/>
        <v>188.99999999790452</v>
      </c>
      <c r="T216" s="34">
        <f t="shared" si="221"/>
        <v>889.99999999883585</v>
      </c>
      <c r="U216" s="34">
        <f t="shared" si="222"/>
        <v>65.000000002328306</v>
      </c>
      <c r="V216" s="34">
        <f t="shared" si="223"/>
        <v>212.99999999231659</v>
      </c>
    </row>
    <row r="217" spans="1:29">
      <c r="A217" s="92" t="s">
        <v>43</v>
      </c>
      <c r="B217" s="20" t="s">
        <v>629</v>
      </c>
      <c r="C217" s="142">
        <v>46219</v>
      </c>
      <c r="D217" s="18">
        <v>0.48125000000000001</v>
      </c>
      <c r="E217" s="142">
        <v>46219</v>
      </c>
      <c r="F217" s="18">
        <v>0.61319444444444449</v>
      </c>
      <c r="G217" s="142">
        <v>46220</v>
      </c>
      <c r="H217" s="18">
        <v>7.0833333333333331E-2</v>
      </c>
      <c r="I217" s="142">
        <v>46220</v>
      </c>
      <c r="J217" s="18">
        <v>8.819444444444445E-2</v>
      </c>
      <c r="M217" s="103">
        <f t="shared" si="216"/>
        <v>0.13194444444525288</v>
      </c>
      <c r="N217" s="103">
        <f t="shared" si="217"/>
        <v>0.45763888888905058</v>
      </c>
      <c r="O217" s="103">
        <f t="shared" si="218"/>
        <v>1.7361111109494232E-2</v>
      </c>
      <c r="P217" s="103">
        <f t="shared" si="219"/>
        <v>0.24513888889487134</v>
      </c>
      <c r="S217" s="34">
        <f t="shared" si="220"/>
        <v>190.00000000116415</v>
      </c>
      <c r="T217" s="34">
        <f t="shared" si="221"/>
        <v>659.00000000023283</v>
      </c>
      <c r="U217" s="34">
        <f t="shared" si="222"/>
        <v>24.999999997671694</v>
      </c>
      <c r="V217" s="34">
        <f t="shared" si="223"/>
        <v>353.00000000861473</v>
      </c>
    </row>
    <row r="218" spans="1:29">
      <c r="A218" s="92" t="s">
        <v>43</v>
      </c>
      <c r="B218" s="20" t="s">
        <v>629</v>
      </c>
      <c r="C218" s="142">
        <v>46220</v>
      </c>
      <c r="D218" s="18">
        <v>0.33333333333333331</v>
      </c>
      <c r="E218" s="142">
        <v>46220</v>
      </c>
      <c r="F218" s="18">
        <v>0.45833333333333331</v>
      </c>
      <c r="G218" s="142">
        <v>46220</v>
      </c>
      <c r="H218" s="18">
        <v>0.62916666666666665</v>
      </c>
      <c r="I218" s="142">
        <v>46220</v>
      </c>
      <c r="J218" s="18">
        <v>0.65277777777777779</v>
      </c>
      <c r="M218" s="103">
        <f t="shared" si="216"/>
        <v>0.125</v>
      </c>
      <c r="N218" s="103">
        <f t="shared" si="217"/>
        <v>0.17083333332993789</v>
      </c>
      <c r="O218" s="103">
        <f t="shared" si="218"/>
        <v>2.3611111115314998E-2</v>
      </c>
      <c r="P218" s="103">
        <f t="shared" si="219"/>
        <v>0.15555555555329192</v>
      </c>
      <c r="S218" s="34">
        <f t="shared" si="220"/>
        <v>180</v>
      </c>
      <c r="T218" s="34">
        <f t="shared" si="221"/>
        <v>245.99999999511056</v>
      </c>
      <c r="U218" s="34">
        <f t="shared" si="222"/>
        <v>34.000000006053597</v>
      </c>
      <c r="V218" s="34">
        <f t="shared" si="223"/>
        <v>223.99999999674037</v>
      </c>
    </row>
    <row r="219" spans="1:29">
      <c r="A219" s="92" t="s">
        <v>43</v>
      </c>
      <c r="B219" s="20" t="s">
        <v>629</v>
      </c>
      <c r="C219" s="142">
        <v>46220</v>
      </c>
      <c r="D219" s="18">
        <v>0.80833333333333335</v>
      </c>
      <c r="E219" s="142">
        <v>46220</v>
      </c>
      <c r="F219" s="18">
        <v>0.92152777777777772</v>
      </c>
      <c r="G219" s="142">
        <v>46221</v>
      </c>
      <c r="H219" s="18">
        <v>0.35694444444444445</v>
      </c>
      <c r="I219" s="142">
        <v>46221</v>
      </c>
      <c r="J219" s="18">
        <v>0.39652777777777776</v>
      </c>
      <c r="M219" s="103">
        <f t="shared" si="216"/>
        <v>0.1131944444423425</v>
      </c>
      <c r="N219" s="103">
        <f>(G219+H219)-(E219+F219)</f>
        <v>0.43541666666715173</v>
      </c>
      <c r="O219" s="103">
        <f t="shared" si="218"/>
        <v>3.9583333331393078E-2</v>
      </c>
      <c r="P219" s="103">
        <f t="shared" si="219"/>
        <v>0.10486111111094942</v>
      </c>
      <c r="S219" s="34">
        <f t="shared" si="220"/>
        <v>162.9999999969732</v>
      </c>
      <c r="T219" s="34">
        <f t="shared" si="221"/>
        <v>627.00000000069849</v>
      </c>
      <c r="U219" s="34">
        <f t="shared" si="222"/>
        <v>56.999999997206032</v>
      </c>
      <c r="V219" s="34">
        <f t="shared" si="223"/>
        <v>150.99999999976717</v>
      </c>
    </row>
    <row r="220" spans="1:29">
      <c r="A220" s="92" t="s">
        <v>43</v>
      </c>
      <c r="B220" s="20" t="s">
        <v>629</v>
      </c>
      <c r="C220" s="142">
        <v>46221</v>
      </c>
      <c r="D220" s="18">
        <v>0.50138888888888888</v>
      </c>
      <c r="E220" s="142">
        <v>46221</v>
      </c>
      <c r="F220" s="18">
        <v>0.62013888888888891</v>
      </c>
      <c r="G220" s="142">
        <v>46222</v>
      </c>
      <c r="H220" s="18">
        <v>0.12638888888888888</v>
      </c>
      <c r="I220" s="142">
        <v>46222</v>
      </c>
      <c r="J220" s="18">
        <v>0.16666666666666666</v>
      </c>
      <c r="M220" s="103">
        <f t="shared" si="216"/>
        <v>0.11875000000145519</v>
      </c>
      <c r="N220" s="103">
        <f t="shared" si="217"/>
        <v>0.50624999999854481</v>
      </c>
      <c r="O220" s="103">
        <f t="shared" si="218"/>
        <v>4.0277777778101154E-2</v>
      </c>
      <c r="P220" s="103">
        <f t="shared" si="219"/>
        <v>0.26319444444379769</v>
      </c>
      <c r="S220" s="34">
        <f t="shared" si="220"/>
        <v>171.00000000209548</v>
      </c>
      <c r="T220" s="34">
        <f t="shared" si="221"/>
        <v>728.99999999790452</v>
      </c>
      <c r="U220" s="34">
        <f t="shared" si="222"/>
        <v>58.000000000465661</v>
      </c>
      <c r="V220" s="34">
        <f t="shared" si="223"/>
        <v>378.99999999906868</v>
      </c>
    </row>
    <row r="221" spans="1:29" ht="15.75" thickBot="1">
      <c r="A221" s="102" t="s">
        <v>43</v>
      </c>
      <c r="B221" s="51" t="s">
        <v>629</v>
      </c>
      <c r="C221" s="147">
        <v>46222</v>
      </c>
      <c r="D221" s="46">
        <v>0.42986111111111114</v>
      </c>
      <c r="E221" s="147">
        <v>46222</v>
      </c>
      <c r="F221" s="46">
        <v>0.54583333333333328</v>
      </c>
      <c r="G221" s="147">
        <v>46223</v>
      </c>
      <c r="H221" s="46">
        <v>9.583333333333334E-2</v>
      </c>
      <c r="I221" s="147">
        <v>46223</v>
      </c>
      <c r="J221" s="46">
        <v>0.12847222222222221</v>
      </c>
      <c r="M221" s="41">
        <f t="shared" si="216"/>
        <v>0.11597222222189885</v>
      </c>
      <c r="N221" s="41">
        <f t="shared" si="217"/>
        <v>0.55000000000291038</v>
      </c>
      <c r="O221" s="41">
        <f t="shared" si="218"/>
        <v>3.2638888886140194E-2</v>
      </c>
      <c r="P221" s="41">
        <f t="shared" si="219"/>
        <v>0.41944444445107365</v>
      </c>
      <c r="S221" s="90">
        <f t="shared" si="220"/>
        <v>166.99999999953434</v>
      </c>
      <c r="T221" s="90">
        <f t="shared" si="221"/>
        <v>792.00000000419095</v>
      </c>
      <c r="U221" s="90">
        <f t="shared" si="222"/>
        <v>46.999999996041879</v>
      </c>
      <c r="V221" s="90">
        <f t="shared" si="223"/>
        <v>604.00000000954606</v>
      </c>
    </row>
    <row r="222" spans="1:29" ht="15.75" thickBot="1">
      <c r="A222" s="101" t="s">
        <v>44</v>
      </c>
      <c r="B222" s="59" t="s">
        <v>655</v>
      </c>
      <c r="C222" s="133">
        <v>46223</v>
      </c>
      <c r="D222" s="74">
        <v>0.54791666666666672</v>
      </c>
      <c r="E222" s="133">
        <v>46223</v>
      </c>
      <c r="F222" s="74">
        <v>0.62083333333333335</v>
      </c>
      <c r="G222" s="133">
        <v>46224</v>
      </c>
      <c r="H222" s="74">
        <v>8.6805555555555552E-2</v>
      </c>
      <c r="I222" s="133">
        <v>46224</v>
      </c>
      <c r="J222" s="74">
        <v>0.16666666666666666</v>
      </c>
      <c r="M222" s="67">
        <f t="shared" si="216"/>
        <v>7.2916666664241347E-2</v>
      </c>
      <c r="N222" s="67">
        <f t="shared" si="217"/>
        <v>0.46597222222044365</v>
      </c>
      <c r="O222" s="67">
        <f t="shared" si="218"/>
        <v>7.9861111109494232E-2</v>
      </c>
      <c r="P222" s="67">
        <f t="shared" si="219"/>
        <v>0.19027777777955635</v>
      </c>
      <c r="S222" s="62">
        <f t="shared" si="220"/>
        <v>104.99999999650754</v>
      </c>
      <c r="T222" s="62">
        <f t="shared" si="221"/>
        <v>670.99999999743886</v>
      </c>
      <c r="U222" s="62">
        <f t="shared" si="222"/>
        <v>114.99999999767169</v>
      </c>
      <c r="V222" s="62">
        <f t="shared" si="223"/>
        <v>274.00000000256114</v>
      </c>
      <c r="X222" s="61" t="s">
        <v>86</v>
      </c>
      <c r="Y222" s="61">
        <v>10800</v>
      </c>
      <c r="Z222" s="63">
        <f>SUM(S222:S229)</f>
        <v>1483.9999999967404</v>
      </c>
      <c r="AA222" s="63">
        <f t="shared" ref="AA222:AB222" si="224">SUM(T222:T229)</f>
        <v>5569.9999999988358</v>
      </c>
      <c r="AB222" s="63">
        <f t="shared" si="224"/>
        <v>473.99999998393469</v>
      </c>
      <c r="AC222" s="63">
        <f>SUM(V222:V229)</f>
        <v>2878.0000000144355</v>
      </c>
    </row>
    <row r="223" spans="1:29" ht="15.75" thickBot="1">
      <c r="A223" s="92" t="s">
        <v>44</v>
      </c>
      <c r="B223" s="59" t="s">
        <v>655</v>
      </c>
      <c r="C223" s="133">
        <v>46224</v>
      </c>
      <c r="D223" s="18">
        <v>0.35694444444444445</v>
      </c>
      <c r="E223" s="133">
        <v>46224</v>
      </c>
      <c r="F223" s="18">
        <v>0.47916666666666669</v>
      </c>
      <c r="G223" s="133">
        <v>46224</v>
      </c>
      <c r="H223" s="18">
        <v>0.99375000000000002</v>
      </c>
      <c r="I223" s="133">
        <v>46225</v>
      </c>
      <c r="J223" s="18">
        <v>2.8472222222222222E-2</v>
      </c>
      <c r="M223" s="103">
        <f t="shared" si="216"/>
        <v>0.12222222222044365</v>
      </c>
      <c r="N223" s="103">
        <f t="shared" si="217"/>
        <v>0.51458333333721384</v>
      </c>
      <c r="O223" s="103">
        <f t="shared" si="218"/>
        <v>3.4722222218988463E-2</v>
      </c>
      <c r="P223" s="103">
        <f t="shared" si="219"/>
        <v>0.18125000000145519</v>
      </c>
      <c r="S223" s="34">
        <f t="shared" si="220"/>
        <v>175.99999999743886</v>
      </c>
      <c r="T223" s="34">
        <f t="shared" si="221"/>
        <v>741.00000000558794</v>
      </c>
      <c r="U223" s="34">
        <f t="shared" si="222"/>
        <v>49.999999995343387</v>
      </c>
      <c r="V223" s="34">
        <f t="shared" si="223"/>
        <v>261.00000000209548</v>
      </c>
      <c r="Z223" s="65">
        <f>(Z222/Y222)*100</f>
        <v>13.740740740710558</v>
      </c>
      <c r="AA223" s="68">
        <f>(AA222/Y222)*100</f>
        <v>51.57407407406329</v>
      </c>
      <c r="AB223" s="65">
        <f>(AB222/Y222)*100</f>
        <v>4.3888888887401363</v>
      </c>
      <c r="AC223" s="66">
        <f>(AC222/Y222)*100</f>
        <v>26.648148148281809</v>
      </c>
    </row>
    <row r="224" spans="1:29">
      <c r="A224" s="92" t="s">
        <v>44</v>
      </c>
      <c r="B224" s="59" t="s">
        <v>655</v>
      </c>
      <c r="C224" s="133">
        <v>46225</v>
      </c>
      <c r="D224" s="18">
        <v>0.20972222222222223</v>
      </c>
      <c r="E224" s="133">
        <v>46225</v>
      </c>
      <c r="F224" s="18">
        <v>0.37152777777777779</v>
      </c>
      <c r="G224" s="133">
        <v>46225</v>
      </c>
      <c r="H224" s="18">
        <v>0.86597222222222225</v>
      </c>
      <c r="I224" s="133">
        <v>46225</v>
      </c>
      <c r="J224" s="18">
        <v>0.90972222222222221</v>
      </c>
      <c r="M224" s="103">
        <f t="shared" ref="M224:M234" si="225">(E224+F224)-(C224+D224)</f>
        <v>0.16180555555911269</v>
      </c>
      <c r="N224" s="103">
        <f t="shared" ref="N224:N234" si="226">(G224+H224)-(E224+F224)</f>
        <v>0.49444444444088731</v>
      </c>
      <c r="O224" s="103">
        <f t="shared" ref="O224:O234" si="227">(I224+J224)-(G224+H224)</f>
        <v>4.3749999997089617E-2</v>
      </c>
      <c r="P224" s="103">
        <f t="shared" ref="P224:P234" si="228">(C225+D225)-(I224+J224)</f>
        <v>9.0972222227719612E-2</v>
      </c>
      <c r="S224" s="34">
        <f t="shared" ref="S224:S234" si="229">1440*M224</f>
        <v>233.00000000512227</v>
      </c>
      <c r="T224" s="34">
        <f t="shared" ref="T224:T234" si="230">1440*N224</f>
        <v>711.99999999487773</v>
      </c>
      <c r="U224" s="34">
        <f t="shared" ref="U224:U234" si="231">1440*O224</f>
        <v>62.999999995809048</v>
      </c>
      <c r="V224" s="34">
        <f t="shared" ref="V224:V234" si="232">1440*P224</f>
        <v>131.00000000791624</v>
      </c>
      <c r="X224" s="179"/>
      <c r="Y224" s="179"/>
      <c r="Z224" s="180"/>
      <c r="AA224" s="180"/>
      <c r="AB224" s="180"/>
      <c r="AC224" s="180"/>
    </row>
    <row r="225" spans="1:29">
      <c r="A225" s="92" t="s">
        <v>44</v>
      </c>
      <c r="B225" s="59" t="s">
        <v>655</v>
      </c>
      <c r="C225" s="133">
        <v>46226</v>
      </c>
      <c r="D225" s="18">
        <v>6.9444444444444447E-4</v>
      </c>
      <c r="E225" s="133">
        <v>46226</v>
      </c>
      <c r="F225" s="18">
        <v>0.11458333333333333</v>
      </c>
      <c r="G225" s="133">
        <v>46226</v>
      </c>
      <c r="H225" s="18">
        <v>0.66249999999999998</v>
      </c>
      <c r="I225" s="133">
        <v>46226</v>
      </c>
      <c r="J225" s="18">
        <v>0.69444444444444442</v>
      </c>
      <c r="M225" s="103">
        <f t="shared" si="225"/>
        <v>0.11388888888905058</v>
      </c>
      <c r="N225" s="103">
        <f t="shared" si="226"/>
        <v>0.54791666666278616</v>
      </c>
      <c r="O225" s="103">
        <f t="shared" si="227"/>
        <v>3.1944444446708076E-2</v>
      </c>
      <c r="P225" s="103">
        <f t="shared" si="228"/>
        <v>0.21805555555329192</v>
      </c>
      <c r="S225" s="34">
        <f t="shared" si="229"/>
        <v>164.00000000023283</v>
      </c>
      <c r="T225" s="34">
        <f t="shared" si="230"/>
        <v>788.99999999441206</v>
      </c>
      <c r="U225" s="34">
        <f t="shared" si="231"/>
        <v>46.000000003259629</v>
      </c>
      <c r="V225" s="34">
        <f t="shared" si="232"/>
        <v>313.99999999674037</v>
      </c>
      <c r="Z225" s="181"/>
      <c r="AA225" s="182"/>
      <c r="AB225" s="181"/>
      <c r="AC225" s="181"/>
    </row>
    <row r="226" spans="1:29">
      <c r="A226" s="92" t="s">
        <v>44</v>
      </c>
      <c r="B226" s="59" t="s">
        <v>655</v>
      </c>
      <c r="C226" s="133">
        <v>46226</v>
      </c>
      <c r="D226" s="18">
        <v>0.91249999999999998</v>
      </c>
      <c r="E226" s="133">
        <v>46227</v>
      </c>
      <c r="F226" s="18">
        <v>3.0555555555555555E-2</v>
      </c>
      <c r="G226" s="133">
        <v>46227</v>
      </c>
      <c r="H226" s="18">
        <v>0.55347222222222225</v>
      </c>
      <c r="I226" s="133">
        <v>46227</v>
      </c>
      <c r="J226" s="18">
        <v>0.58958333333333335</v>
      </c>
      <c r="M226" s="103">
        <f t="shared" si="225"/>
        <v>0.11805555555474712</v>
      </c>
      <c r="N226" s="103">
        <f t="shared" si="226"/>
        <v>0.52291666666860692</v>
      </c>
      <c r="O226" s="103">
        <f t="shared" si="227"/>
        <v>3.6111111112404615E-2</v>
      </c>
      <c r="P226" s="103">
        <f t="shared" si="228"/>
        <v>0.14652777777519077</v>
      </c>
      <c r="S226" s="34">
        <f t="shared" si="229"/>
        <v>169.99999999883585</v>
      </c>
      <c r="T226" s="34">
        <f t="shared" si="230"/>
        <v>753.00000000279397</v>
      </c>
      <c r="U226" s="34">
        <f t="shared" si="231"/>
        <v>52.000000001862645</v>
      </c>
      <c r="V226" s="34">
        <f t="shared" si="232"/>
        <v>210.99999999627471</v>
      </c>
    </row>
    <row r="227" spans="1:29">
      <c r="A227" s="92" t="s">
        <v>44</v>
      </c>
      <c r="B227" s="59" t="s">
        <v>655</v>
      </c>
      <c r="C227" s="133">
        <v>46227</v>
      </c>
      <c r="D227" s="18">
        <v>0.73611111111111116</v>
      </c>
      <c r="E227" s="133">
        <v>46227</v>
      </c>
      <c r="F227" s="18">
        <v>0.81666666666666665</v>
      </c>
      <c r="G227" s="133">
        <v>46228</v>
      </c>
      <c r="H227" s="18">
        <v>0.39305555555555555</v>
      </c>
      <c r="I227" s="133">
        <v>46228</v>
      </c>
      <c r="J227" s="18">
        <v>0.42986111111111114</v>
      </c>
      <c r="M227" s="103">
        <f t="shared" si="225"/>
        <v>8.0555555556202307E-2</v>
      </c>
      <c r="N227" s="103">
        <f t="shared" si="226"/>
        <v>0.57638888889050577</v>
      </c>
      <c r="O227" s="103">
        <f t="shared" si="227"/>
        <v>3.6805555551836733E-2</v>
      </c>
      <c r="P227" s="103">
        <f t="shared" si="228"/>
        <v>6.1111111113859806E-2</v>
      </c>
      <c r="S227" s="34">
        <f t="shared" si="229"/>
        <v>116.00000000093132</v>
      </c>
      <c r="T227" s="34">
        <f t="shared" si="230"/>
        <v>830.00000000232831</v>
      </c>
      <c r="U227" s="34">
        <f t="shared" si="231"/>
        <v>52.999999994644895</v>
      </c>
      <c r="V227" s="34">
        <f t="shared" si="232"/>
        <v>88.000000003958121</v>
      </c>
    </row>
    <row r="228" spans="1:29">
      <c r="A228" s="92" t="s">
        <v>44</v>
      </c>
      <c r="B228" s="59" t="s">
        <v>655</v>
      </c>
      <c r="C228" s="133">
        <v>46228</v>
      </c>
      <c r="D228" s="18">
        <v>0.4909722222222222</v>
      </c>
      <c r="E228" s="133">
        <v>46228</v>
      </c>
      <c r="F228" s="18">
        <v>0.60347222222222219</v>
      </c>
      <c r="G228" s="133">
        <v>46228</v>
      </c>
      <c r="H228" s="18">
        <v>0.75</v>
      </c>
      <c r="I228" s="133">
        <v>46228</v>
      </c>
      <c r="J228" s="18">
        <v>0.77430555555555558</v>
      </c>
      <c r="M228" s="103">
        <f t="shared" si="225"/>
        <v>0.11250000000291038</v>
      </c>
      <c r="N228" s="103">
        <f t="shared" si="226"/>
        <v>0.14652777777519077</v>
      </c>
      <c r="O228" s="103">
        <f t="shared" si="227"/>
        <v>2.4305555554747116E-2</v>
      </c>
      <c r="P228" s="103">
        <f t="shared" si="228"/>
        <v>0.25347222222626442</v>
      </c>
      <c r="S228" s="34">
        <f t="shared" si="229"/>
        <v>162.00000000419095</v>
      </c>
      <c r="T228" s="34">
        <f t="shared" si="230"/>
        <v>210.99999999627471</v>
      </c>
      <c r="U228" s="34">
        <f t="shared" si="231"/>
        <v>34.999999998835847</v>
      </c>
      <c r="V228" s="34">
        <f t="shared" si="232"/>
        <v>365.00000000582077</v>
      </c>
    </row>
    <row r="229" spans="1:29" ht="15.75" thickBot="1">
      <c r="A229" s="102" t="s">
        <v>44</v>
      </c>
      <c r="B229" s="51" t="s">
        <v>655</v>
      </c>
      <c r="C229" s="147">
        <v>46229</v>
      </c>
      <c r="D229" s="46">
        <v>2.7777777777777776E-2</v>
      </c>
      <c r="E229" s="147">
        <v>46229</v>
      </c>
      <c r="F229" s="46">
        <v>0.27638888888888891</v>
      </c>
      <c r="G229" s="147">
        <v>46229</v>
      </c>
      <c r="H229" s="46">
        <v>0.87569444444444444</v>
      </c>
      <c r="I229" s="147">
        <v>46229</v>
      </c>
      <c r="J229" s="46">
        <v>0.91736111111111107</v>
      </c>
      <c r="M229" s="41">
        <f t="shared" si="225"/>
        <v>0.24861111110658385</v>
      </c>
      <c r="N229" s="41">
        <f t="shared" si="226"/>
        <v>0.59930555555911269</v>
      </c>
      <c r="O229" s="41">
        <f t="shared" si="227"/>
        <v>4.1666666664241347E-2</v>
      </c>
      <c r="P229" s="41">
        <f t="shared" si="228"/>
        <v>0.85694444444379769</v>
      </c>
      <c r="S229" s="90">
        <f t="shared" si="229"/>
        <v>357.99999999348074</v>
      </c>
      <c r="T229" s="90">
        <f t="shared" si="230"/>
        <v>863.00000000512227</v>
      </c>
      <c r="U229" s="90">
        <f t="shared" si="231"/>
        <v>59.99999999650754</v>
      </c>
      <c r="V229" s="90">
        <f t="shared" si="232"/>
        <v>1233.9999999990687</v>
      </c>
    </row>
    <row r="230" spans="1:29" ht="15.75" thickBot="1">
      <c r="A230" s="101" t="s">
        <v>87</v>
      </c>
      <c r="B230" s="59" t="s">
        <v>670</v>
      </c>
      <c r="C230" s="133">
        <v>46230</v>
      </c>
      <c r="D230" s="74">
        <v>0.77430555555555558</v>
      </c>
      <c r="E230" s="133">
        <v>46230</v>
      </c>
      <c r="F230" s="74">
        <v>0.88194444444444442</v>
      </c>
      <c r="G230" s="133">
        <v>46231</v>
      </c>
      <c r="H230" s="74">
        <v>0.27500000000000002</v>
      </c>
      <c r="I230" s="133">
        <v>46231</v>
      </c>
      <c r="J230" s="74">
        <v>0.31458333333333333</v>
      </c>
      <c r="M230" s="67">
        <f t="shared" si="225"/>
        <v>0.10763888889050577</v>
      </c>
      <c r="N230" s="67">
        <f t="shared" si="226"/>
        <v>0.39305555555620231</v>
      </c>
      <c r="O230" s="67">
        <f t="shared" si="227"/>
        <v>3.9583333331393078E-2</v>
      </c>
      <c r="P230" s="67">
        <f t="shared" si="228"/>
        <v>0.33125000000291038</v>
      </c>
      <c r="S230" s="62">
        <f t="shared" si="229"/>
        <v>155.00000000232831</v>
      </c>
      <c r="T230" s="62">
        <f t="shared" si="230"/>
        <v>566.00000000093132</v>
      </c>
      <c r="U230" s="62">
        <f t="shared" si="231"/>
        <v>56.999999997206032</v>
      </c>
      <c r="V230" s="62">
        <f t="shared" si="232"/>
        <v>477.00000000419095</v>
      </c>
      <c r="X230" s="61" t="s">
        <v>86</v>
      </c>
      <c r="Y230" s="61">
        <v>10800</v>
      </c>
      <c r="Z230" s="63">
        <f>SUM(S230:S236)</f>
        <v>1965.0000000034925</v>
      </c>
      <c r="AA230" s="63">
        <f>SUM(T230:T236)</f>
        <v>3173.0000000016298</v>
      </c>
      <c r="AB230" s="63">
        <f t="shared" ref="AB230:AC230" si="233">SUM(U230:U236)</f>
        <v>341.00000000093132</v>
      </c>
      <c r="AC230" s="63">
        <f t="shared" si="233"/>
        <v>2722.9999999911524</v>
      </c>
    </row>
    <row r="231" spans="1:29" ht="15.75" thickBot="1">
      <c r="A231" s="92" t="s">
        <v>87</v>
      </c>
      <c r="B231" s="59" t="s">
        <v>670</v>
      </c>
      <c r="C231" s="133">
        <v>46231</v>
      </c>
      <c r="D231" s="18">
        <v>0.64583333333333337</v>
      </c>
      <c r="E231" s="133">
        <v>46231</v>
      </c>
      <c r="F231" s="18">
        <v>0.91666666666666663</v>
      </c>
      <c r="G231" s="133">
        <v>46231</v>
      </c>
      <c r="H231" s="18">
        <v>0.98611111111111116</v>
      </c>
      <c r="I231" s="133">
        <v>46232</v>
      </c>
      <c r="J231" s="18">
        <v>5.5555555555555558E-3</v>
      </c>
      <c r="M231" s="103">
        <f t="shared" si="225"/>
        <v>0.27083333332848269</v>
      </c>
      <c r="N231" s="103">
        <f t="shared" si="226"/>
        <v>6.9444444445252884E-2</v>
      </c>
      <c r="O231" s="103">
        <f t="shared" si="227"/>
        <v>1.9444444449618459E-2</v>
      </c>
      <c r="P231" s="103">
        <f t="shared" si="228"/>
        <v>1.085416666661331</v>
      </c>
      <c r="S231" s="34">
        <f t="shared" si="229"/>
        <v>389.99999999301508</v>
      </c>
      <c r="T231" s="34">
        <f t="shared" si="230"/>
        <v>100.00000000116415</v>
      </c>
      <c r="U231" s="34">
        <f t="shared" si="231"/>
        <v>28.000000007450581</v>
      </c>
      <c r="V231" s="34">
        <f t="shared" si="232"/>
        <v>1562.9999999923166</v>
      </c>
      <c r="Z231" s="65">
        <f>(Z230/Y230)*100</f>
        <v>18.194444444476783</v>
      </c>
      <c r="AA231" s="68">
        <f>(AA230/Y230)*100</f>
        <v>29.379629629644722</v>
      </c>
      <c r="AB231" s="65">
        <f>(AB230/Y230)*100</f>
        <v>3.1574074074160312</v>
      </c>
      <c r="AC231" s="66">
        <f>(AC230/Y230)*100</f>
        <v>25.21296296288104</v>
      </c>
    </row>
    <row r="232" spans="1:29">
      <c r="A232" s="92" t="s">
        <v>87</v>
      </c>
      <c r="B232" s="59" t="s">
        <v>670</v>
      </c>
      <c r="C232" s="133">
        <v>46233</v>
      </c>
      <c r="D232" s="18">
        <v>9.0972222222222218E-2</v>
      </c>
      <c r="E232" s="133">
        <v>46233</v>
      </c>
      <c r="F232" s="18">
        <v>0.36875000000000002</v>
      </c>
      <c r="G232" s="133">
        <v>46233</v>
      </c>
      <c r="H232" s="18">
        <v>0.41458333333333336</v>
      </c>
      <c r="I232" s="133">
        <v>46233</v>
      </c>
      <c r="J232" s="18">
        <v>0.44791666666666669</v>
      </c>
      <c r="M232" s="103">
        <f t="shared" si="225"/>
        <v>0.27777777778101154</v>
      </c>
      <c r="N232" s="103">
        <f t="shared" si="226"/>
        <v>4.5833333329937886E-2</v>
      </c>
      <c r="O232" s="103">
        <f t="shared" si="227"/>
        <v>3.3333333332848269E-2</v>
      </c>
      <c r="P232" s="103">
        <f t="shared" si="228"/>
        <v>0.34583333333284827</v>
      </c>
      <c r="S232" s="34">
        <f t="shared" si="229"/>
        <v>400.00000000465661</v>
      </c>
      <c r="T232" s="34">
        <f t="shared" si="230"/>
        <v>65.999999995110556</v>
      </c>
      <c r="U232" s="34">
        <f t="shared" si="231"/>
        <v>47.999999999301508</v>
      </c>
      <c r="V232" s="34">
        <f t="shared" si="232"/>
        <v>497.99999999930151</v>
      </c>
    </row>
    <row r="233" spans="1:29">
      <c r="A233" s="92" t="s">
        <v>87</v>
      </c>
      <c r="B233" s="59" t="s">
        <v>670</v>
      </c>
      <c r="C233" s="133">
        <v>46233</v>
      </c>
      <c r="D233" s="18">
        <v>0.79374999999999996</v>
      </c>
      <c r="E233" s="133">
        <v>46233</v>
      </c>
      <c r="F233" s="18">
        <v>0.95138888888888884</v>
      </c>
      <c r="G233" s="133">
        <v>46234</v>
      </c>
      <c r="H233" s="18">
        <v>2.013888888888889E-2</v>
      </c>
      <c r="I233" s="133">
        <v>46234</v>
      </c>
      <c r="J233" s="18">
        <v>4.7222222222222221E-2</v>
      </c>
      <c r="M233" s="103">
        <f t="shared" si="225"/>
        <v>0.15763888889341615</v>
      </c>
      <c r="N233" s="103">
        <f t="shared" si="226"/>
        <v>6.8749999998544808E-2</v>
      </c>
      <c r="O233" s="103">
        <f t="shared" si="227"/>
        <v>2.7083333334303461E-2</v>
      </c>
      <c r="P233" s="103">
        <f t="shared" si="228"/>
        <v>0.44374999999854481</v>
      </c>
      <c r="S233" s="34">
        <f t="shared" si="229"/>
        <v>227.00000000651926</v>
      </c>
      <c r="T233" s="34">
        <f t="shared" si="230"/>
        <v>98.999999997904524</v>
      </c>
      <c r="U233" s="34">
        <f t="shared" si="231"/>
        <v>39.000000001396984</v>
      </c>
      <c r="V233" s="34">
        <f t="shared" si="232"/>
        <v>638.99999999790452</v>
      </c>
    </row>
    <row r="234" spans="1:29">
      <c r="A234" s="92" t="s">
        <v>87</v>
      </c>
      <c r="B234" s="59" t="s">
        <v>670</v>
      </c>
      <c r="C234" s="133">
        <v>46234</v>
      </c>
      <c r="D234" s="18">
        <v>0.4909722222222222</v>
      </c>
      <c r="E234" s="133">
        <v>46234</v>
      </c>
      <c r="F234" s="18">
        <v>0.78819444444444442</v>
      </c>
      <c r="G234" s="133">
        <v>46235</v>
      </c>
      <c r="H234" s="18">
        <v>0.32847222222222222</v>
      </c>
      <c r="I234" s="133">
        <v>46235</v>
      </c>
      <c r="J234" s="18">
        <v>0.36805555555555558</v>
      </c>
      <c r="M234" s="103">
        <f t="shared" si="225"/>
        <v>0.29722222222335404</v>
      </c>
      <c r="N234" s="103">
        <f t="shared" si="226"/>
        <v>0.54027777777810115</v>
      </c>
      <c r="O234" s="103">
        <f t="shared" si="227"/>
        <v>3.9583333331393078E-2</v>
      </c>
      <c r="P234" s="103">
        <f t="shared" si="228"/>
        <v>5.2777777775190771E-2</v>
      </c>
      <c r="S234" s="34">
        <f t="shared" si="229"/>
        <v>428.00000000162981</v>
      </c>
      <c r="T234" s="34">
        <f t="shared" si="230"/>
        <v>778.00000000046566</v>
      </c>
      <c r="U234" s="34">
        <f t="shared" si="231"/>
        <v>56.999999997206032</v>
      </c>
      <c r="V234" s="34">
        <f t="shared" si="232"/>
        <v>75.99999999627471</v>
      </c>
    </row>
    <row r="235" spans="1:29">
      <c r="A235" s="92" t="s">
        <v>87</v>
      </c>
      <c r="B235" s="59" t="s">
        <v>670</v>
      </c>
      <c r="C235" s="133">
        <v>46235</v>
      </c>
      <c r="D235" s="18">
        <v>0.42083333333333334</v>
      </c>
      <c r="E235" s="133">
        <v>46235</v>
      </c>
      <c r="F235" s="18">
        <v>0.55972222222222223</v>
      </c>
      <c r="G235" s="133">
        <v>46236</v>
      </c>
      <c r="H235" s="18">
        <v>0.1125</v>
      </c>
      <c r="I235" s="133">
        <v>46236</v>
      </c>
      <c r="J235" s="18">
        <v>0.14861111111111111</v>
      </c>
      <c r="M235" s="103">
        <f t="shared" ref="M235:M239" si="234">(E235+F235)-(C235+D235)</f>
        <v>0.13888888889050577</v>
      </c>
      <c r="N235" s="103">
        <f t="shared" ref="N235:N239" si="235">(G235+H235)-(E235+F235)</f>
        <v>0.55277777778246673</v>
      </c>
      <c r="O235" s="103">
        <f>(I235+J235)-(G235+H235)</f>
        <v>3.6111111105128657E-2</v>
      </c>
      <c r="P235" s="103">
        <f t="shared" ref="P235:P239" si="236">(C236+D236)-(I235+J235)</f>
        <v>5.0694444449618459E-2</v>
      </c>
      <c r="S235" s="34">
        <f t="shared" ref="S235:S239" si="237">1440*M235</f>
        <v>200.00000000232831</v>
      </c>
      <c r="T235" s="34">
        <f t="shared" ref="T235:T239" si="238">1440*N235</f>
        <v>796.00000000675209</v>
      </c>
      <c r="U235" s="34">
        <f>1440*O235</f>
        <v>51.999999991385266</v>
      </c>
      <c r="V235" s="34">
        <f t="shared" ref="V235:V239" si="239">1440*P235</f>
        <v>73.000000007450581</v>
      </c>
    </row>
    <row r="236" spans="1:29" ht="15.75" thickBot="1">
      <c r="A236" s="102" t="s">
        <v>87</v>
      </c>
      <c r="B236" s="51" t="s">
        <v>670</v>
      </c>
      <c r="C236" s="147">
        <v>46236</v>
      </c>
      <c r="D236" s="46">
        <v>0.19930555555555557</v>
      </c>
      <c r="E236" s="147">
        <v>46236</v>
      </c>
      <c r="F236" s="46">
        <v>0.31388888888888888</v>
      </c>
      <c r="G236" s="147">
        <v>46236</v>
      </c>
      <c r="H236" s="46">
        <v>0.84722222222222221</v>
      </c>
      <c r="I236" s="147">
        <v>46236</v>
      </c>
      <c r="J236" s="46">
        <v>0.88888888888888884</v>
      </c>
      <c r="M236" s="41">
        <f t="shared" si="234"/>
        <v>0.11458333332848269</v>
      </c>
      <c r="N236" s="41">
        <f t="shared" si="235"/>
        <v>0.53333333333284827</v>
      </c>
      <c r="O236" s="41">
        <f t="shared" ref="O236:O239" si="240">(I236+J236)-(G236+H236)</f>
        <v>4.1666666671517305E-2</v>
      </c>
      <c r="P236" s="41">
        <f t="shared" si="236"/>
        <v>-0.41875000000436557</v>
      </c>
      <c r="S236" s="90">
        <f t="shared" si="237"/>
        <v>164.99999999301508</v>
      </c>
      <c r="T236" s="90">
        <f t="shared" si="238"/>
        <v>767.99999999930151</v>
      </c>
      <c r="U236" s="90">
        <f t="shared" ref="U236:U239" si="241">1440*O236</f>
        <v>60.000000006984919</v>
      </c>
      <c r="V236" s="90">
        <f t="shared" si="239"/>
        <v>-603.00000000628643</v>
      </c>
      <c r="Y236" s="183" t="s">
        <v>694</v>
      </c>
    </row>
    <row r="237" spans="1:29" ht="15.75" thickBot="1">
      <c r="A237" s="101" t="s">
        <v>94</v>
      </c>
      <c r="B237" s="59" t="s">
        <v>687</v>
      </c>
      <c r="C237" s="133">
        <v>46236</v>
      </c>
      <c r="D237" s="74">
        <v>0.47013888888888888</v>
      </c>
      <c r="E237" s="133">
        <v>46237</v>
      </c>
      <c r="F237" s="74">
        <v>6.9444444444444448E-2</v>
      </c>
      <c r="G237" s="133">
        <v>46237</v>
      </c>
      <c r="H237" s="74">
        <v>0.61875000000000002</v>
      </c>
      <c r="I237" s="133">
        <v>46237</v>
      </c>
      <c r="J237" s="74">
        <v>0.65555555555555556</v>
      </c>
      <c r="M237" s="67">
        <f t="shared" si="234"/>
        <v>0.59930555555911269</v>
      </c>
      <c r="N237" s="67">
        <f t="shared" si="235"/>
        <v>0.54930555555620231</v>
      </c>
      <c r="O237" s="67">
        <f t="shared" si="240"/>
        <v>3.6805555551836733E-2</v>
      </c>
      <c r="P237" s="67">
        <f t="shared" si="236"/>
        <v>4.2361111110949423E-2</v>
      </c>
      <c r="S237" s="62">
        <f t="shared" si="237"/>
        <v>863.00000000512227</v>
      </c>
      <c r="T237" s="62">
        <f t="shared" si="238"/>
        <v>791.00000000093132</v>
      </c>
      <c r="U237" s="62">
        <f t="shared" si="241"/>
        <v>52.999999994644895</v>
      </c>
      <c r="V237" s="62">
        <f t="shared" si="239"/>
        <v>60.999999999767169</v>
      </c>
      <c r="X237" s="61" t="s">
        <v>86</v>
      </c>
      <c r="Y237" s="61">
        <v>7200</v>
      </c>
      <c r="Z237" s="63">
        <f>SUM(S237:S241)</f>
        <v>1647.000000004191</v>
      </c>
      <c r="AA237" s="63">
        <f t="shared" ref="AA237:AC237" si="242">SUM(T237:T241)</f>
        <v>3656.999999997206</v>
      </c>
      <c r="AB237" s="63">
        <f t="shared" si="242"/>
        <v>298.99999998975545</v>
      </c>
      <c r="AC237" s="63">
        <f t="shared" si="242"/>
        <v>15896.000000014901</v>
      </c>
    </row>
    <row r="238" spans="1:29" ht="15.75" thickBot="1">
      <c r="A238" s="101" t="s">
        <v>94</v>
      </c>
      <c r="B238" s="59" t="s">
        <v>687</v>
      </c>
      <c r="C238" s="133">
        <v>46237</v>
      </c>
      <c r="D238" s="18">
        <v>0.69791666666666663</v>
      </c>
      <c r="E238" s="133">
        <v>46237</v>
      </c>
      <c r="F238" s="18">
        <v>0.80277777777777781</v>
      </c>
      <c r="G238" s="133">
        <v>46238</v>
      </c>
      <c r="H238" s="18">
        <v>0.35694444444444445</v>
      </c>
      <c r="I238" s="133">
        <v>46238</v>
      </c>
      <c r="J238" s="18">
        <v>0.39652777777777776</v>
      </c>
      <c r="M238" s="103">
        <f t="shared" si="234"/>
        <v>0.10486111111094942</v>
      </c>
      <c r="N238" s="103">
        <f t="shared" si="235"/>
        <v>0.55416666666860692</v>
      </c>
      <c r="O238" s="103">
        <f t="shared" si="240"/>
        <v>3.9583333331393078E-2</v>
      </c>
      <c r="P238" s="103">
        <f t="shared" si="236"/>
        <v>0.24930555556056788</v>
      </c>
      <c r="S238" s="34">
        <f t="shared" si="237"/>
        <v>150.99999999976717</v>
      </c>
      <c r="T238" s="34">
        <f t="shared" si="238"/>
        <v>798.00000000279397</v>
      </c>
      <c r="U238" s="34">
        <f t="shared" si="241"/>
        <v>56.999999997206032</v>
      </c>
      <c r="V238" s="34">
        <f t="shared" si="239"/>
        <v>359.00000000721775</v>
      </c>
      <c r="Z238" s="65">
        <f>(Z237/Y237)*100</f>
        <v>22.875000000058208</v>
      </c>
      <c r="AA238" s="68">
        <f>(AA237/Y237)*100</f>
        <v>50.791666666627869</v>
      </c>
      <c r="AB238" s="65">
        <f>(AB237/Y237)*100</f>
        <v>4.1527777776354924</v>
      </c>
      <c r="AC238" s="66">
        <f>(AC237/Y237)*100</f>
        <v>220.77777777798474</v>
      </c>
    </row>
    <row r="239" spans="1:29">
      <c r="A239" s="101" t="s">
        <v>94</v>
      </c>
      <c r="B239" s="59" t="s">
        <v>687</v>
      </c>
      <c r="C239" s="133">
        <v>46238</v>
      </c>
      <c r="D239" s="18">
        <v>0.64583333333333337</v>
      </c>
      <c r="E239" s="133">
        <v>46238</v>
      </c>
      <c r="F239" s="18">
        <v>0.78611111111111109</v>
      </c>
      <c r="G239" s="133">
        <v>46239</v>
      </c>
      <c r="H239" s="18">
        <v>0.19027777777777777</v>
      </c>
      <c r="I239" s="133">
        <v>46239</v>
      </c>
      <c r="J239" s="18">
        <v>0.24444444444444446</v>
      </c>
      <c r="M239" s="103">
        <f t="shared" si="234"/>
        <v>0.14027777777664596</v>
      </c>
      <c r="N239" s="103">
        <f t="shared" si="235"/>
        <v>0.40416666666715173</v>
      </c>
      <c r="O239" s="103">
        <f t="shared" si="240"/>
        <v>5.4166666661330964E-2</v>
      </c>
      <c r="P239" s="103">
        <f t="shared" si="236"/>
        <v>0.37638888889341615</v>
      </c>
      <c r="S239" s="34">
        <f t="shared" si="237"/>
        <v>201.99999999837019</v>
      </c>
      <c r="T239" s="34">
        <f t="shared" si="238"/>
        <v>582.00000000069849</v>
      </c>
      <c r="U239" s="34">
        <f t="shared" si="241"/>
        <v>77.999999992316589</v>
      </c>
      <c r="V239" s="34">
        <f t="shared" si="239"/>
        <v>542.00000000651926</v>
      </c>
    </row>
    <row r="240" spans="1:29">
      <c r="A240" s="101" t="s">
        <v>94</v>
      </c>
      <c r="B240" s="59" t="s">
        <v>687</v>
      </c>
      <c r="C240" s="133">
        <v>46239</v>
      </c>
      <c r="D240" s="18">
        <v>0.62083333333333335</v>
      </c>
      <c r="E240" s="133">
        <v>46239</v>
      </c>
      <c r="F240" s="18">
        <v>0.69861111111111107</v>
      </c>
      <c r="G240" s="133">
        <v>46240</v>
      </c>
      <c r="H240" s="18">
        <v>0.22222222222222221</v>
      </c>
      <c r="I240" s="133">
        <v>46240</v>
      </c>
      <c r="J240" s="18">
        <v>0.26458333333333334</v>
      </c>
      <c r="M240" s="103">
        <f t="shared" ref="M240:M247" si="243">(E240+F240)-(C240+D240)</f>
        <v>7.7777777776645962E-2</v>
      </c>
      <c r="N240" s="103">
        <f t="shared" ref="N240:N247" si="244">(G240+H240)-(E240+F240)</f>
        <v>0.52361111110803904</v>
      </c>
      <c r="O240" s="103">
        <f t="shared" ref="O240:O246" si="245">(I240+J240)-(G240+H240)</f>
        <v>4.2361111110949423E-2</v>
      </c>
      <c r="P240" s="103">
        <f t="shared" ref="P240:P246" si="246">(C241+D241)-(I240+J240)</f>
        <v>0.15486111111385981</v>
      </c>
      <c r="S240" s="34">
        <f t="shared" ref="S240:S247" si="247">1440*M240</f>
        <v>111.99999999837019</v>
      </c>
      <c r="T240" s="34">
        <f t="shared" ref="T240:T247" si="248">1440*N240</f>
        <v>753.99999999557622</v>
      </c>
      <c r="U240" s="34">
        <f t="shared" ref="U240:U247" si="249">1440*O240</f>
        <v>60.999999999767169</v>
      </c>
      <c r="V240" s="34">
        <f t="shared" ref="V240:V247" si="250">1440*P240</f>
        <v>223.00000000395812</v>
      </c>
    </row>
    <row r="241" spans="1:29" ht="15.75" thickBot="1">
      <c r="A241" s="102" t="s">
        <v>94</v>
      </c>
      <c r="B241" s="51" t="s">
        <v>687</v>
      </c>
      <c r="C241" s="147">
        <v>46240</v>
      </c>
      <c r="D241" s="46">
        <v>0.41944444444444445</v>
      </c>
      <c r="E241" s="147">
        <v>46240</v>
      </c>
      <c r="F241" s="46">
        <v>0.64097222222222217</v>
      </c>
      <c r="G241" s="147">
        <v>46241</v>
      </c>
      <c r="H241" s="46">
        <v>0.14930555555555555</v>
      </c>
      <c r="I241" s="147">
        <v>46241</v>
      </c>
      <c r="J241" s="46">
        <v>0.18402777777777779</v>
      </c>
      <c r="M241" s="41">
        <f t="shared" si="243"/>
        <v>0.22152777777955635</v>
      </c>
      <c r="N241" s="41">
        <f t="shared" si="244"/>
        <v>0.50833333333139308</v>
      </c>
      <c r="O241" s="41">
        <f t="shared" si="245"/>
        <v>3.4722222226264421E-2</v>
      </c>
      <c r="P241" s="41">
        <f>(C242+D242)-(I241+J241)</f>
        <v>10.215972222220444</v>
      </c>
      <c r="S241" s="90">
        <f t="shared" si="247"/>
        <v>319.00000000256114</v>
      </c>
      <c r="T241" s="90">
        <f t="shared" si="248"/>
        <v>731.99999999720603</v>
      </c>
      <c r="U241" s="90">
        <f t="shared" si="249"/>
        <v>50.000000005820766</v>
      </c>
      <c r="V241" s="90">
        <f>1440*P241</f>
        <v>14710.999999997439</v>
      </c>
    </row>
    <row r="242" spans="1:29" ht="15.75" thickBot="1">
      <c r="A242" s="101" t="s">
        <v>97</v>
      </c>
      <c r="B242" s="59" t="s">
        <v>693</v>
      </c>
      <c r="C242" s="133">
        <v>46251</v>
      </c>
      <c r="D242" s="74">
        <v>0.4</v>
      </c>
      <c r="E242" s="133">
        <v>46251</v>
      </c>
      <c r="F242" s="74">
        <v>0.60416666666666663</v>
      </c>
      <c r="G242" s="133">
        <v>46251</v>
      </c>
      <c r="H242" s="74">
        <v>0.8354166666666667</v>
      </c>
      <c r="I242" s="133">
        <v>46251</v>
      </c>
      <c r="J242" s="74">
        <v>0.86805555555555558</v>
      </c>
      <c r="M242" s="67">
        <f t="shared" si="243"/>
        <v>0.20416666666278616</v>
      </c>
      <c r="N242" s="67">
        <f t="shared" si="244"/>
        <v>0.23125000000436557</v>
      </c>
      <c r="O242" s="67">
        <f t="shared" si="245"/>
        <v>3.2638888886140194E-2</v>
      </c>
      <c r="P242" s="67">
        <f t="shared" si="246"/>
        <v>0.37152777778101154</v>
      </c>
      <c r="S242" s="62">
        <f t="shared" si="247"/>
        <v>293.99999999441206</v>
      </c>
      <c r="T242" s="62">
        <f t="shared" si="248"/>
        <v>333.00000000628643</v>
      </c>
      <c r="U242" s="62">
        <f t="shared" si="249"/>
        <v>46.999999996041879</v>
      </c>
      <c r="V242" s="62">
        <f t="shared" si="250"/>
        <v>535.00000000465661</v>
      </c>
      <c r="X242" s="61" t="s">
        <v>86</v>
      </c>
      <c r="Y242" s="61">
        <v>7200</v>
      </c>
      <c r="Z242" s="63">
        <f>SUM(S242:S247)</f>
        <v>1103.9999999944121</v>
      </c>
      <c r="AA242" s="63">
        <f>SUM(T242:T247)</f>
        <v>4106.999999997206</v>
      </c>
      <c r="AB242" s="63">
        <f>SUM(U242:U247)</f>
        <v>299.99999999301508</v>
      </c>
      <c r="AC242" s="63">
        <f>SUM(V242:V247)</f>
        <v>4553.0000000155997</v>
      </c>
    </row>
    <row r="243" spans="1:29" ht="15.75" thickBot="1">
      <c r="A243" s="101" t="s">
        <v>97</v>
      </c>
      <c r="B243" s="59" t="s">
        <v>693</v>
      </c>
      <c r="C243" s="133">
        <v>46252</v>
      </c>
      <c r="D243" s="18">
        <v>0.23958333333333334</v>
      </c>
      <c r="E243" s="133">
        <v>46252</v>
      </c>
      <c r="F243" s="18">
        <v>0.33333333333333331</v>
      </c>
      <c r="G243" s="133">
        <v>46252</v>
      </c>
      <c r="H243" s="18">
        <v>0.85277777777777775</v>
      </c>
      <c r="I243" s="133">
        <v>46252</v>
      </c>
      <c r="J243" s="18">
        <v>0.89027777777777772</v>
      </c>
      <c r="M243" s="67">
        <f t="shared" si="243"/>
        <v>9.375E-2</v>
      </c>
      <c r="N243" s="67">
        <f t="shared" si="244"/>
        <v>0.5194444444423425</v>
      </c>
      <c r="O243" s="67">
        <f t="shared" si="245"/>
        <v>3.7499999998544808E-2</v>
      </c>
      <c r="P243" s="67">
        <f t="shared" si="246"/>
        <v>9.2361111113859806E-2</v>
      </c>
      <c r="S243" s="62">
        <f t="shared" si="247"/>
        <v>135</v>
      </c>
      <c r="T243" s="62">
        <f t="shared" si="248"/>
        <v>747.9999999969732</v>
      </c>
      <c r="U243" s="62">
        <f t="shared" si="249"/>
        <v>53.999999997904524</v>
      </c>
      <c r="V243" s="62">
        <f t="shared" si="250"/>
        <v>133.00000000395812</v>
      </c>
      <c r="Z243" s="65">
        <f>(Z242/Y242)*100</f>
        <v>15.333333333255721</v>
      </c>
      <c r="AA243" s="68">
        <f>(AA242/Y242)*100</f>
        <v>57.041666666627869</v>
      </c>
      <c r="AB243" s="65">
        <f>(AB242/Y242)*100</f>
        <v>4.1666666665696539</v>
      </c>
      <c r="AC243" s="66">
        <f>(AC242/Y242)*100</f>
        <v>63.236111111327773</v>
      </c>
    </row>
    <row r="244" spans="1:29">
      <c r="A244" s="101" t="s">
        <v>97</v>
      </c>
      <c r="B244" s="59" t="s">
        <v>693</v>
      </c>
      <c r="C244" s="133">
        <v>46252</v>
      </c>
      <c r="D244" s="18">
        <v>0.98263888888888884</v>
      </c>
      <c r="E244" s="133">
        <v>46253</v>
      </c>
      <c r="F244" s="18">
        <v>0.1111111111111111</v>
      </c>
      <c r="G244" s="133">
        <v>46253</v>
      </c>
      <c r="H244" s="18">
        <v>0.63124999999999998</v>
      </c>
      <c r="I244" s="133">
        <v>46253</v>
      </c>
      <c r="J244" s="18">
        <v>0.66388888888888886</v>
      </c>
      <c r="M244" s="103">
        <f t="shared" si="243"/>
        <v>0.12847222221898846</v>
      </c>
      <c r="N244" s="103">
        <f t="shared" si="244"/>
        <v>0.52013888888905058</v>
      </c>
      <c r="O244" s="103">
        <f t="shared" si="245"/>
        <v>3.2638888893416151E-2</v>
      </c>
      <c r="P244" s="103">
        <f t="shared" si="246"/>
        <v>3.0555555553291924E-2</v>
      </c>
      <c r="S244" s="34">
        <f t="shared" si="247"/>
        <v>184.99999999534339</v>
      </c>
      <c r="T244" s="34">
        <f t="shared" si="248"/>
        <v>749.00000000023283</v>
      </c>
      <c r="U244" s="34">
        <f t="shared" si="249"/>
        <v>47.000000006519258</v>
      </c>
      <c r="V244" s="34">
        <f t="shared" si="250"/>
        <v>43.999999996740371</v>
      </c>
    </row>
    <row r="245" spans="1:29">
      <c r="A245" s="101" t="s">
        <v>97</v>
      </c>
      <c r="B245" s="59" t="s">
        <v>693</v>
      </c>
      <c r="C245" s="133">
        <v>46253</v>
      </c>
      <c r="D245" s="18">
        <v>0.69444444444444442</v>
      </c>
      <c r="E245" s="133">
        <v>46253</v>
      </c>
      <c r="F245" s="18">
        <v>0.8125</v>
      </c>
      <c r="G245" s="133">
        <v>46254</v>
      </c>
      <c r="H245" s="18">
        <v>0.3298611111111111</v>
      </c>
      <c r="I245" s="133">
        <v>46254</v>
      </c>
      <c r="J245" s="18">
        <v>0.36388888888888887</v>
      </c>
      <c r="M245" s="103">
        <f t="shared" si="243"/>
        <v>0.11805555555474712</v>
      </c>
      <c r="N245" s="103">
        <f t="shared" si="244"/>
        <v>0.51736111110949423</v>
      </c>
      <c r="O245" s="103">
        <f t="shared" si="245"/>
        <v>3.4027777779556345E-2</v>
      </c>
      <c r="P245" s="103">
        <f t="shared" si="246"/>
        <v>0.15416666666715173</v>
      </c>
      <c r="S245" s="34">
        <f t="shared" si="247"/>
        <v>169.99999999883585</v>
      </c>
      <c r="T245" s="34">
        <f t="shared" si="248"/>
        <v>744.99999999767169</v>
      </c>
      <c r="U245" s="34">
        <f t="shared" si="249"/>
        <v>49.000000002561137</v>
      </c>
      <c r="V245" s="34">
        <f t="shared" si="250"/>
        <v>222.00000000069849</v>
      </c>
    </row>
    <row r="246" spans="1:29">
      <c r="A246" s="101" t="s">
        <v>97</v>
      </c>
      <c r="B246" s="59" t="s">
        <v>693</v>
      </c>
      <c r="C246" s="133">
        <v>46254</v>
      </c>
      <c r="D246" s="18">
        <v>0.5180555555555556</v>
      </c>
      <c r="E246" s="133">
        <v>46254</v>
      </c>
      <c r="F246" s="18">
        <v>0.62361111111111112</v>
      </c>
      <c r="G246" s="133">
        <v>46255</v>
      </c>
      <c r="H246" s="18">
        <v>0.16805555555555557</v>
      </c>
      <c r="I246" s="133">
        <v>46255</v>
      </c>
      <c r="J246" s="18">
        <v>0.20694444444444443</v>
      </c>
      <c r="M246" s="103">
        <f t="shared" si="243"/>
        <v>0.1055555555576575</v>
      </c>
      <c r="N246" s="103">
        <f t="shared" si="244"/>
        <v>0.54444444444379769</v>
      </c>
      <c r="O246" s="103">
        <f t="shared" si="245"/>
        <v>3.8888888884685002E-2</v>
      </c>
      <c r="P246" s="103">
        <f t="shared" si="246"/>
        <v>5.2083333335758653E-2</v>
      </c>
      <c r="S246" s="34">
        <f t="shared" si="247"/>
        <v>152.0000000030268</v>
      </c>
      <c r="T246" s="34">
        <f t="shared" si="248"/>
        <v>783.99999999906868</v>
      </c>
      <c r="U246" s="34">
        <f t="shared" si="249"/>
        <v>55.999999993946403</v>
      </c>
      <c r="V246" s="34">
        <f t="shared" si="250"/>
        <v>75.00000000349246</v>
      </c>
    </row>
    <row r="247" spans="1:29" ht="15.75" thickBot="1">
      <c r="A247" s="102" t="s">
        <v>97</v>
      </c>
      <c r="B247" s="51" t="s">
        <v>693</v>
      </c>
      <c r="C247" s="147">
        <v>46255</v>
      </c>
      <c r="D247" s="46">
        <v>0.2590277777777778</v>
      </c>
      <c r="E247" s="147">
        <v>46255</v>
      </c>
      <c r="F247" s="46">
        <v>0.37569444444444444</v>
      </c>
      <c r="G247" s="147">
        <v>46255</v>
      </c>
      <c r="H247" s="46">
        <v>0.89513888888888893</v>
      </c>
      <c r="I247" s="147">
        <v>46255</v>
      </c>
      <c r="J247" s="46">
        <v>0.92777777777777781</v>
      </c>
      <c r="M247" s="41">
        <f t="shared" si="243"/>
        <v>0.11666666666860692</v>
      </c>
      <c r="N247" s="41">
        <f t="shared" si="244"/>
        <v>0.5194444444423425</v>
      </c>
      <c r="O247" s="41">
        <f>(I247+J247)-(G247+H247)</f>
        <v>3.2638888886140194E-2</v>
      </c>
      <c r="P247" s="41">
        <f>(C248+D248)-(I247+J247)</f>
        <v>2.461111111115315</v>
      </c>
      <c r="S247" s="90">
        <f t="shared" si="247"/>
        <v>168.00000000279397</v>
      </c>
      <c r="T247" s="90">
        <f t="shared" si="248"/>
        <v>747.9999999969732</v>
      </c>
      <c r="U247" s="90">
        <f t="shared" si="249"/>
        <v>46.999999996041879</v>
      </c>
      <c r="V247" s="90">
        <f t="shared" si="250"/>
        <v>3544.0000000060536</v>
      </c>
    </row>
    <row r="248" spans="1:29" ht="15.75" thickBot="1">
      <c r="A248" s="101" t="s">
        <v>98</v>
      </c>
      <c r="B248" s="59" t="s">
        <v>705</v>
      </c>
      <c r="C248" s="133">
        <v>46258</v>
      </c>
      <c r="D248" s="74">
        <v>0.3888888888888889</v>
      </c>
      <c r="E248" s="133">
        <v>46258</v>
      </c>
      <c r="F248" s="74">
        <v>0.45833333333333331</v>
      </c>
      <c r="G248" s="133">
        <v>46258</v>
      </c>
      <c r="H248" s="74">
        <v>0.99930555555555556</v>
      </c>
      <c r="I248" s="133">
        <v>46259</v>
      </c>
      <c r="J248" s="74">
        <v>6.458333333333334E-2</v>
      </c>
      <c r="M248" s="67">
        <f t="shared" ref="M248:M249" si="251">(E248+F248)-(C248+D248)</f>
        <v>6.9444444445252884E-2</v>
      </c>
      <c r="N248" s="67">
        <f t="shared" ref="N248:N249" si="252">(G248+H248)-(E248+F248)</f>
        <v>0.54097222221753327</v>
      </c>
      <c r="O248" s="67">
        <f t="shared" ref="O248:O249" si="253">(I248+J248)-(G248+H248)</f>
        <v>6.5277777779556345E-2</v>
      </c>
      <c r="P248" s="67">
        <f t="shared" ref="P248:P249" si="254">(C249+D249)-(I248+J248)</f>
        <v>6.7361111112404615E-2</v>
      </c>
      <c r="S248" s="62">
        <f t="shared" ref="S248:S249" si="255">1440*M248</f>
        <v>100.00000000116415</v>
      </c>
      <c r="T248" s="62">
        <f t="shared" ref="T248:T249" si="256">1440*N248</f>
        <v>778.99999999324791</v>
      </c>
      <c r="U248" s="62">
        <f t="shared" ref="U248:U249" si="257">1440*O248</f>
        <v>94.000000002561137</v>
      </c>
      <c r="V248" s="62">
        <f t="shared" ref="V248:V249" si="258">1440*P248</f>
        <v>97.000000001862645</v>
      </c>
      <c r="X248" s="61" t="s">
        <v>86</v>
      </c>
      <c r="Y248" s="61">
        <v>7200</v>
      </c>
      <c r="Z248" s="63">
        <f>SUM(S248:S254)</f>
        <v>958.99999999324791</v>
      </c>
      <c r="AA248" s="63">
        <f>SUM(T248:T254)</f>
        <v>4555.9999999939464</v>
      </c>
      <c r="AB248" s="63">
        <f t="shared" ref="AB248:AC248" si="259">SUM(U248:U254)</f>
        <v>382.99999998067506</v>
      </c>
      <c r="AC248" s="63">
        <f t="shared" si="259"/>
        <v>4500.0000000314321</v>
      </c>
    </row>
    <row r="249" spans="1:29" ht="15.75" thickBot="1">
      <c r="A249" s="101" t="s">
        <v>98</v>
      </c>
      <c r="B249" s="59" t="s">
        <v>705</v>
      </c>
      <c r="C249" s="133">
        <v>46259</v>
      </c>
      <c r="D249" s="18">
        <v>0.13194444444444445</v>
      </c>
      <c r="E249" s="133">
        <v>46259</v>
      </c>
      <c r="F249" s="18">
        <v>0.24652777777777779</v>
      </c>
      <c r="G249" s="133">
        <v>46259</v>
      </c>
      <c r="H249" s="18">
        <v>0.58819444444444446</v>
      </c>
      <c r="I249" s="133">
        <v>46259</v>
      </c>
      <c r="J249" s="18">
        <v>0.6020833333333333</v>
      </c>
      <c r="M249" s="103">
        <f t="shared" si="251"/>
        <v>0.11458333333575865</v>
      </c>
      <c r="N249" s="103">
        <f t="shared" si="252"/>
        <v>0.34166666665987577</v>
      </c>
      <c r="O249" s="103">
        <f t="shared" si="253"/>
        <v>1.3888888890505768E-2</v>
      </c>
      <c r="P249" s="103">
        <f t="shared" si="254"/>
        <v>6.805555555911269E-2</v>
      </c>
      <c r="S249" s="34">
        <f t="shared" si="255"/>
        <v>165.00000000349246</v>
      </c>
      <c r="T249" s="34">
        <f t="shared" si="256"/>
        <v>491.99999999022111</v>
      </c>
      <c r="U249" s="34">
        <f t="shared" si="257"/>
        <v>20.000000002328306</v>
      </c>
      <c r="V249" s="34">
        <f t="shared" si="258"/>
        <v>98.000000005122274</v>
      </c>
      <c r="Z249" s="65">
        <f>(Z248/Y248)*100</f>
        <v>13.319444444350664</v>
      </c>
      <c r="AA249" s="68">
        <f>(AA248/Y248)*100</f>
        <v>63.2777777776937</v>
      </c>
      <c r="AB249" s="65">
        <f>(AB248/Y248)*100</f>
        <v>5.3194444441760425</v>
      </c>
      <c r="AC249" s="66">
        <f>(AC248/Y248)*100</f>
        <v>62.500000000436565</v>
      </c>
    </row>
    <row r="250" spans="1:29">
      <c r="A250" s="101" t="s">
        <v>98</v>
      </c>
      <c r="B250" s="59" t="s">
        <v>705</v>
      </c>
      <c r="C250" s="133">
        <v>46259</v>
      </c>
      <c r="D250" s="18">
        <v>0.67013888888888884</v>
      </c>
      <c r="E250" s="133">
        <v>46259</v>
      </c>
      <c r="F250" s="18">
        <v>0.70277777777777772</v>
      </c>
      <c r="G250" s="133">
        <v>46260</v>
      </c>
      <c r="H250" s="18">
        <v>0.20555555555555555</v>
      </c>
      <c r="I250" s="133">
        <v>46260</v>
      </c>
      <c r="J250" s="18">
        <v>0.2361111111111111</v>
      </c>
      <c r="M250" s="67">
        <f t="shared" ref="M250:M253" si="260">(E250+F250)-(C250+D250)</f>
        <v>3.2638888886140194E-2</v>
      </c>
      <c r="N250" s="67">
        <f t="shared" ref="N250:N253" si="261">(G250+H250)-(E250+F250)</f>
        <v>0.50277777777955635</v>
      </c>
      <c r="O250" s="67">
        <f t="shared" ref="O250:O253" si="262">(I250+J250)-(G250+H250)</f>
        <v>3.0555555553291924E-2</v>
      </c>
      <c r="P250" s="67">
        <f t="shared" ref="P250:P253" si="263">(C251+D251)-(I250+J250)</f>
        <v>8.9583333334303461E-2</v>
      </c>
      <c r="S250" s="62">
        <f t="shared" ref="S250:S253" si="264">1440*M250</f>
        <v>46.999999996041879</v>
      </c>
      <c r="T250" s="62">
        <f t="shared" ref="T250:T253" si="265">1440*N250</f>
        <v>724.00000000256114</v>
      </c>
      <c r="U250" s="62">
        <f t="shared" ref="U250:U253" si="266">1440*O250</f>
        <v>43.999999996740371</v>
      </c>
      <c r="V250" s="62">
        <f t="shared" ref="V250:V253" si="267">1440*P250</f>
        <v>129.00000000139698</v>
      </c>
    </row>
    <row r="251" spans="1:29">
      <c r="A251" s="101" t="s">
        <v>98</v>
      </c>
      <c r="B251" s="59" t="s">
        <v>705</v>
      </c>
      <c r="C251" s="133">
        <v>46260</v>
      </c>
      <c r="D251" s="18">
        <v>0.32569444444444445</v>
      </c>
      <c r="E251" s="133">
        <v>46260</v>
      </c>
      <c r="F251" s="18">
        <v>0.48680555555555555</v>
      </c>
      <c r="G251" s="133">
        <v>46260</v>
      </c>
      <c r="H251" s="18">
        <v>0.99375000000000002</v>
      </c>
      <c r="I251" s="133">
        <v>46261</v>
      </c>
      <c r="J251" s="18">
        <v>2.5694444444444443E-2</v>
      </c>
      <c r="M251" s="103">
        <f t="shared" si="260"/>
        <v>0.16111111111240461</v>
      </c>
      <c r="N251" s="103">
        <f t="shared" si="261"/>
        <v>0.50694444444525288</v>
      </c>
      <c r="O251" s="103">
        <f t="shared" si="262"/>
        <v>3.1944444439432118E-2</v>
      </c>
      <c r="P251" s="103">
        <f t="shared" si="263"/>
        <v>5.2083333335758653E-2</v>
      </c>
      <c r="S251" s="34">
        <f t="shared" si="264"/>
        <v>232.00000000186265</v>
      </c>
      <c r="T251" s="34">
        <f t="shared" si="265"/>
        <v>730.00000000116415</v>
      </c>
      <c r="U251" s="34">
        <f t="shared" si="266"/>
        <v>45.99999999278225</v>
      </c>
      <c r="V251" s="34">
        <f t="shared" si="267"/>
        <v>75.00000000349246</v>
      </c>
    </row>
    <row r="252" spans="1:29">
      <c r="A252" s="101" t="s">
        <v>98</v>
      </c>
      <c r="B252" s="59" t="s">
        <v>705</v>
      </c>
      <c r="C252" s="133">
        <v>46261</v>
      </c>
      <c r="D252" s="18">
        <v>7.7777777777777779E-2</v>
      </c>
      <c r="E252" s="133">
        <v>46261</v>
      </c>
      <c r="F252" s="18">
        <v>0.18472222222222223</v>
      </c>
      <c r="G252" s="133">
        <v>46261</v>
      </c>
      <c r="H252" s="18">
        <v>0.67222222222222228</v>
      </c>
      <c r="I252" s="133">
        <v>46261</v>
      </c>
      <c r="J252" s="18">
        <v>0.72222222222222221</v>
      </c>
      <c r="M252" s="67">
        <f t="shared" si="260"/>
        <v>0.10694444444379769</v>
      </c>
      <c r="N252" s="67">
        <f t="shared" si="261"/>
        <v>0.48750000000291038</v>
      </c>
      <c r="O252" s="67">
        <f t="shared" si="262"/>
        <v>4.9999999995634425E-2</v>
      </c>
      <c r="P252" s="67">
        <f t="shared" si="263"/>
        <v>0.17361111111677019</v>
      </c>
      <c r="S252" s="62">
        <f t="shared" si="264"/>
        <v>153.99999999906868</v>
      </c>
      <c r="T252" s="62">
        <f t="shared" si="265"/>
        <v>702.00000000419095</v>
      </c>
      <c r="U252" s="62">
        <f t="shared" si="266"/>
        <v>71.999999993713573</v>
      </c>
      <c r="V252" s="62">
        <f t="shared" si="267"/>
        <v>250.00000000814907</v>
      </c>
    </row>
    <row r="253" spans="1:29">
      <c r="A253" s="101" t="s">
        <v>98</v>
      </c>
      <c r="B253" s="59" t="s">
        <v>705</v>
      </c>
      <c r="C253" s="133">
        <v>46261</v>
      </c>
      <c r="D253" s="18">
        <v>0.89583333333333337</v>
      </c>
      <c r="E253" s="133">
        <v>46261</v>
      </c>
      <c r="F253" s="18">
        <v>0.96319444444444446</v>
      </c>
      <c r="G253" s="133">
        <v>46262</v>
      </c>
      <c r="H253" s="18">
        <v>0.22222222222222221</v>
      </c>
      <c r="I253" s="133">
        <v>46262</v>
      </c>
      <c r="J253" s="18">
        <v>0.27361111111111114</v>
      </c>
      <c r="M253" s="103">
        <f t="shared" si="260"/>
        <v>6.7361111105128657E-2</v>
      </c>
      <c r="N253" s="103">
        <f t="shared" si="261"/>
        <v>0.25902777777810115</v>
      </c>
      <c r="O253" s="103">
        <f t="shared" si="262"/>
        <v>5.1388888889050577E-2</v>
      </c>
      <c r="P253" s="103">
        <f t="shared" si="263"/>
        <v>3.4722222226264421E-2</v>
      </c>
      <c r="S253" s="34">
        <f t="shared" si="264"/>
        <v>96.999999991385266</v>
      </c>
      <c r="T253" s="34">
        <f t="shared" si="265"/>
        <v>373.00000000046566</v>
      </c>
      <c r="U253" s="34">
        <f t="shared" si="266"/>
        <v>74.000000000232831</v>
      </c>
      <c r="V253" s="34">
        <f t="shared" si="267"/>
        <v>50.000000005820766</v>
      </c>
    </row>
    <row r="254" spans="1:29" ht="15.75" thickBot="1">
      <c r="A254" s="102" t="s">
        <v>98</v>
      </c>
      <c r="B254" s="51" t="s">
        <v>705</v>
      </c>
      <c r="C254" s="147">
        <v>46262</v>
      </c>
      <c r="D254" s="46">
        <v>0.30833333333333335</v>
      </c>
      <c r="E254" s="147">
        <v>46262</v>
      </c>
      <c r="F254" s="46">
        <v>0.42222222222222222</v>
      </c>
      <c r="G254" s="147">
        <v>46262</v>
      </c>
      <c r="H254" s="46">
        <v>0.94722222222222219</v>
      </c>
      <c r="I254" s="147">
        <v>46262</v>
      </c>
      <c r="J254" s="46">
        <v>0.97013888888888888</v>
      </c>
      <c r="M254" s="41">
        <f t="shared" ref="M254:M259" si="268">(E254+F254)-(C254+D254)</f>
        <v>0.11388888888905058</v>
      </c>
      <c r="N254" s="41">
        <f t="shared" ref="N254:N259" si="269">(G254+H254)-(E254+F254)</f>
        <v>0.52500000000145519</v>
      </c>
      <c r="O254" s="41">
        <f t="shared" ref="O254:O259" si="270">(I254+J254)-(G254+H254)</f>
        <v>2.2916666661330964E-2</v>
      </c>
      <c r="P254" s="41">
        <f>(C255+D255)-(I254+J254)</f>
        <v>2.6395833333372138</v>
      </c>
      <c r="S254" s="90">
        <f t="shared" ref="S254:S259" si="271">1440*M254</f>
        <v>164.00000000023283</v>
      </c>
      <c r="T254" s="90">
        <f t="shared" ref="T254:T259" si="272">1440*N254</f>
        <v>756.00000000209548</v>
      </c>
      <c r="U254" s="90">
        <f t="shared" ref="U254:U259" si="273">1440*O254</f>
        <v>32.999999992316589</v>
      </c>
      <c r="V254" s="90">
        <f>1440*P254</f>
        <v>3801.0000000055879</v>
      </c>
    </row>
    <row r="255" spans="1:29" ht="15.75" thickBot="1">
      <c r="A255" s="101" t="s">
        <v>720</v>
      </c>
      <c r="B255" s="59" t="s">
        <v>725</v>
      </c>
      <c r="C255" s="133">
        <v>46265</v>
      </c>
      <c r="D255" s="18">
        <v>0.60972222222222228</v>
      </c>
      <c r="E255" s="133">
        <v>46265</v>
      </c>
      <c r="F255" s="18">
        <v>0.72916666666666663</v>
      </c>
      <c r="G255" s="133">
        <v>46265</v>
      </c>
      <c r="H255" s="18">
        <v>0.83472222222222225</v>
      </c>
      <c r="I255" s="133">
        <v>46265</v>
      </c>
      <c r="J255" s="105">
        <v>0.87152777777777779</v>
      </c>
      <c r="M255" s="67">
        <f t="shared" si="268"/>
        <v>0.11944444444088731</v>
      </c>
      <c r="N255" s="67">
        <f t="shared" si="269"/>
        <v>0.1055555555576575</v>
      </c>
      <c r="O255" s="67">
        <f t="shared" si="270"/>
        <v>3.680555555911269E-2</v>
      </c>
      <c r="P255" s="67">
        <f t="shared" ref="P255:P259" si="274">(C256+D256)-(I255+J255)</f>
        <v>0.33680555555474712</v>
      </c>
      <c r="S255" s="62">
        <f t="shared" si="271"/>
        <v>171.99999999487773</v>
      </c>
      <c r="T255" s="62">
        <f t="shared" si="272"/>
        <v>152.0000000030268</v>
      </c>
      <c r="U255" s="62">
        <f t="shared" si="273"/>
        <v>53.000000005122274</v>
      </c>
      <c r="V255" s="62">
        <f t="shared" ref="V255:V259" si="275">1440*P255</f>
        <v>484.99999999883585</v>
      </c>
      <c r="X255" s="61" t="s">
        <v>86</v>
      </c>
      <c r="Y255" s="61">
        <v>7200</v>
      </c>
      <c r="Z255" s="63">
        <f>SUM(S255:S261)</f>
        <v>1158.000000002794</v>
      </c>
      <c r="AA255" s="63">
        <f>SUM(T255:T261)</f>
        <v>3944.9999999825377</v>
      </c>
      <c r="AB255" s="63">
        <f>SUM(U255:U261)</f>
        <v>357.00000002165325</v>
      </c>
      <c r="AC255" s="63">
        <f>SUM(V255:V261)</f>
        <v>4293.9999999885913</v>
      </c>
    </row>
    <row r="256" spans="1:29" ht="15.75" thickBot="1">
      <c r="A256" s="101" t="s">
        <v>720</v>
      </c>
      <c r="B256" s="59" t="s">
        <v>725</v>
      </c>
      <c r="C256" s="133">
        <v>46266</v>
      </c>
      <c r="D256" s="18">
        <v>0.20833333333333334</v>
      </c>
      <c r="E256" s="133">
        <v>46266</v>
      </c>
      <c r="F256" s="18">
        <v>0.31805555555555554</v>
      </c>
      <c r="G256" s="133">
        <v>46266</v>
      </c>
      <c r="H256" s="18">
        <v>0.80694444444444446</v>
      </c>
      <c r="I256" s="133">
        <v>46266</v>
      </c>
      <c r="J256" s="74">
        <v>0.84097222222222223</v>
      </c>
      <c r="M256" s="67">
        <f t="shared" si="268"/>
        <v>0.10972222222335404</v>
      </c>
      <c r="N256" s="67">
        <f t="shared" si="269"/>
        <v>0.48888888888177462</v>
      </c>
      <c r="O256" s="67">
        <f t="shared" si="270"/>
        <v>3.4027777779556345E-2</v>
      </c>
      <c r="P256" s="67">
        <f t="shared" si="274"/>
        <v>9.1666666667151731E-2</v>
      </c>
      <c r="S256" s="62">
        <f t="shared" si="271"/>
        <v>158.00000000162981</v>
      </c>
      <c r="T256" s="62">
        <f t="shared" si="272"/>
        <v>703.99999998975545</v>
      </c>
      <c r="U256" s="62">
        <f t="shared" si="273"/>
        <v>49.000000002561137</v>
      </c>
      <c r="V256" s="62">
        <f t="shared" si="275"/>
        <v>132.00000000069849</v>
      </c>
      <c r="Z256" s="65">
        <f>(Z255/Y255)*100</f>
        <v>16.083333333372138</v>
      </c>
      <c r="AA256" s="68">
        <f>(AA255/Y255)*100</f>
        <v>54.791666666424135</v>
      </c>
      <c r="AB256" s="65">
        <f>(AB255/Y255)*100</f>
        <v>4.9583333336340729</v>
      </c>
      <c r="AC256" s="66">
        <f>(AC255/Y255)*100</f>
        <v>59.638888888730435</v>
      </c>
    </row>
    <row r="257" spans="1:29">
      <c r="A257" s="101" t="s">
        <v>720</v>
      </c>
      <c r="B257" s="59" t="s">
        <v>725</v>
      </c>
      <c r="C257" s="133">
        <v>46266</v>
      </c>
      <c r="D257" s="18">
        <v>0.93263888888888891</v>
      </c>
      <c r="E257" s="133">
        <v>46267</v>
      </c>
      <c r="F257" s="18">
        <v>4.027777777777778E-2</v>
      </c>
      <c r="G257" s="133">
        <v>46267</v>
      </c>
      <c r="H257" s="18">
        <v>0.69374999999999998</v>
      </c>
      <c r="I257" s="133">
        <v>46267</v>
      </c>
      <c r="J257" s="74">
        <v>0.72847222222222219</v>
      </c>
      <c r="M257" s="103">
        <f t="shared" si="268"/>
        <v>0.10763888889050577</v>
      </c>
      <c r="N257" s="103">
        <f t="shared" si="269"/>
        <v>0.65347222222044365</v>
      </c>
      <c r="O257" s="103">
        <f t="shared" si="270"/>
        <v>3.4722222226264421E-2</v>
      </c>
      <c r="P257" s="103">
        <f t="shared" si="274"/>
        <v>4.4444444443797693E-2</v>
      </c>
      <c r="S257" s="34">
        <f t="shared" si="271"/>
        <v>155.00000000232831</v>
      </c>
      <c r="T257" s="34">
        <f t="shared" si="272"/>
        <v>940.99999999743886</v>
      </c>
      <c r="U257" s="34">
        <f t="shared" si="273"/>
        <v>50.000000005820766</v>
      </c>
      <c r="V257" s="34">
        <f t="shared" si="275"/>
        <v>63.999999999068677</v>
      </c>
    </row>
    <row r="258" spans="1:29">
      <c r="A258" s="101" t="s">
        <v>720</v>
      </c>
      <c r="B258" s="59" t="s">
        <v>725</v>
      </c>
      <c r="C258" s="133">
        <v>46267</v>
      </c>
      <c r="D258" s="18">
        <v>0.7729166666666667</v>
      </c>
      <c r="E258" s="133">
        <v>46267</v>
      </c>
      <c r="F258" s="18">
        <v>0.88263888888888886</v>
      </c>
      <c r="G258" s="133">
        <v>46268</v>
      </c>
      <c r="H258" s="18">
        <v>9.583333333333334E-2</v>
      </c>
      <c r="I258" s="133">
        <v>46268</v>
      </c>
      <c r="J258" s="18">
        <v>0.13750000000000001</v>
      </c>
      <c r="M258" s="67">
        <f t="shared" si="268"/>
        <v>0.10972222222335404</v>
      </c>
      <c r="N258" s="67">
        <f t="shared" si="269"/>
        <v>0.21319444444088731</v>
      </c>
      <c r="O258" s="67">
        <f t="shared" si="270"/>
        <v>4.1666666664241347E-2</v>
      </c>
      <c r="P258" s="67">
        <f t="shared" si="274"/>
        <v>3.6111111112404615E-2</v>
      </c>
      <c r="S258" s="62">
        <f t="shared" si="271"/>
        <v>158.00000000162981</v>
      </c>
      <c r="T258" s="62">
        <f t="shared" si="272"/>
        <v>306.99999999487773</v>
      </c>
      <c r="U258" s="62">
        <f t="shared" si="273"/>
        <v>59.99999999650754</v>
      </c>
      <c r="V258" s="62">
        <f t="shared" si="275"/>
        <v>52.000000001862645</v>
      </c>
    </row>
    <row r="259" spans="1:29">
      <c r="A259" s="101" t="s">
        <v>720</v>
      </c>
      <c r="B259" s="59" t="s">
        <v>725</v>
      </c>
      <c r="C259" s="133">
        <v>46268</v>
      </c>
      <c r="D259" s="18">
        <v>0.1736111111111111</v>
      </c>
      <c r="E259" s="133">
        <v>46268</v>
      </c>
      <c r="F259" s="18">
        <v>0.31736111111111109</v>
      </c>
      <c r="G259" s="133">
        <v>46268</v>
      </c>
      <c r="H259" s="18">
        <v>0.78125</v>
      </c>
      <c r="I259" s="133">
        <v>46268</v>
      </c>
      <c r="J259" s="18">
        <v>0.79722222222222228</v>
      </c>
      <c r="M259" s="103">
        <f t="shared" si="268"/>
        <v>0.14375000000291038</v>
      </c>
      <c r="N259" s="103">
        <f t="shared" si="269"/>
        <v>0.46388888888759539</v>
      </c>
      <c r="O259" s="103">
        <f t="shared" si="270"/>
        <v>1.5972222223354038E-2</v>
      </c>
      <c r="P259" s="103">
        <f t="shared" si="274"/>
        <v>9.3055555553291924E-2</v>
      </c>
      <c r="S259" s="34">
        <f t="shared" si="271"/>
        <v>207.00000000419095</v>
      </c>
      <c r="T259" s="34">
        <f t="shared" si="272"/>
        <v>667.99999999813735</v>
      </c>
      <c r="U259" s="34">
        <f t="shared" si="273"/>
        <v>23.000000001629815</v>
      </c>
      <c r="V259" s="34">
        <f t="shared" si="275"/>
        <v>133.99999999674037</v>
      </c>
    </row>
    <row r="260" spans="1:29">
      <c r="A260" s="101" t="s">
        <v>720</v>
      </c>
      <c r="B260" s="59" t="s">
        <v>725</v>
      </c>
      <c r="C260" s="133">
        <v>46268</v>
      </c>
      <c r="D260" s="18">
        <v>0.89027777777777772</v>
      </c>
      <c r="E260" s="133">
        <v>46268</v>
      </c>
      <c r="F260" s="18">
        <v>0.99722222222222223</v>
      </c>
      <c r="G260" s="133">
        <v>46269</v>
      </c>
      <c r="H260" s="18">
        <v>0.53125</v>
      </c>
      <c r="I260" s="133">
        <v>46269</v>
      </c>
      <c r="J260" s="18">
        <v>0.57430555555555551</v>
      </c>
      <c r="M260" s="67">
        <f t="shared" ref="M260:M270" si="276">(E260+F260)-(C260+D260)</f>
        <v>0.10694444444379769</v>
      </c>
      <c r="N260" s="67">
        <f t="shared" ref="N260:N270" si="277">(G260+H260)-(E260+F260)</f>
        <v>0.53402777777955635</v>
      </c>
      <c r="O260" s="67">
        <f t="shared" ref="O260:O270" si="278">(I260+J260)-(G260+H260)</f>
        <v>4.3055555557657499E-2</v>
      </c>
      <c r="P260" s="67">
        <f t="shared" ref="P260:P270" si="279">(C261+D261)-(I260+J260)</f>
        <v>0.13541666666424135</v>
      </c>
      <c r="S260" s="62">
        <f t="shared" ref="S260:S270" si="280">1440*M260</f>
        <v>153.99999999906868</v>
      </c>
      <c r="T260" s="62">
        <f t="shared" ref="T260:T270" si="281">1440*N260</f>
        <v>769.00000000256114</v>
      </c>
      <c r="U260" s="62">
        <f t="shared" ref="U260:U270" si="282">1440*O260</f>
        <v>62.000000003026798</v>
      </c>
      <c r="V260" s="62">
        <f t="shared" ref="V260:V270" si="283">1440*P260</f>
        <v>194.99999999650754</v>
      </c>
    </row>
    <row r="261" spans="1:29" ht="15.75" thickBot="1">
      <c r="A261" s="102" t="s">
        <v>720</v>
      </c>
      <c r="B261" s="51" t="s">
        <v>725</v>
      </c>
      <c r="C261" s="147">
        <v>46269</v>
      </c>
      <c r="D261" s="46">
        <v>0.70972222222222225</v>
      </c>
      <c r="E261" s="147">
        <v>46269</v>
      </c>
      <c r="F261" s="46">
        <v>0.81666666666666665</v>
      </c>
      <c r="G261" s="147">
        <v>46270</v>
      </c>
      <c r="H261" s="46">
        <v>9.7222222222222224E-2</v>
      </c>
      <c r="I261" s="147">
        <v>46270</v>
      </c>
      <c r="J261" s="46">
        <v>0.1388888888888889</v>
      </c>
      <c r="M261" s="41">
        <f t="shared" si="276"/>
        <v>0.10694444444379769</v>
      </c>
      <c r="N261" s="41">
        <f t="shared" si="277"/>
        <v>0.28055555555329192</v>
      </c>
      <c r="O261" s="41">
        <f t="shared" si="278"/>
        <v>4.1666666671517305E-2</v>
      </c>
      <c r="P261" s="41">
        <f>(C262+D262)-(I261+J261)</f>
        <v>2.2444444444408873</v>
      </c>
      <c r="S261" s="90">
        <f t="shared" si="280"/>
        <v>153.99999999906868</v>
      </c>
      <c r="T261" s="90">
        <f t="shared" si="281"/>
        <v>403.99999999674037</v>
      </c>
      <c r="U261" s="90">
        <f t="shared" si="282"/>
        <v>60.000000006984919</v>
      </c>
      <c r="V261" s="90">
        <f t="shared" si="283"/>
        <v>3231.9999999948777</v>
      </c>
    </row>
    <row r="262" spans="1:29" ht="15.75" thickBot="1">
      <c r="A262" s="101" t="s">
        <v>738</v>
      </c>
      <c r="B262" s="59" t="s">
        <v>742</v>
      </c>
      <c r="C262" s="186">
        <v>46272</v>
      </c>
      <c r="D262" s="178">
        <v>0.38333333333333336</v>
      </c>
      <c r="E262" s="186">
        <v>46272</v>
      </c>
      <c r="F262" s="178">
        <v>0.67777777777777781</v>
      </c>
      <c r="G262" s="186">
        <v>46273</v>
      </c>
      <c r="H262" s="74">
        <v>0.23749999999999999</v>
      </c>
      <c r="I262" s="185">
        <v>46273</v>
      </c>
      <c r="J262" s="74">
        <v>0.27430555555555558</v>
      </c>
      <c r="M262" s="67">
        <f t="shared" si="276"/>
        <v>0.29444444444379769</v>
      </c>
      <c r="N262" s="67">
        <f t="shared" si="277"/>
        <v>0.55972222222771961</v>
      </c>
      <c r="O262" s="67">
        <f t="shared" si="278"/>
        <v>3.6805555551836733E-2</v>
      </c>
      <c r="P262" s="67">
        <f t="shared" si="279"/>
        <v>8.1944444442342501E-2</v>
      </c>
      <c r="S262" s="62">
        <f t="shared" si="280"/>
        <v>423.99999999906868</v>
      </c>
      <c r="T262" s="62">
        <f t="shared" si="281"/>
        <v>806.00000000791624</v>
      </c>
      <c r="U262" s="62">
        <f t="shared" si="282"/>
        <v>52.999999994644895</v>
      </c>
      <c r="V262" s="62">
        <f t="shared" si="283"/>
        <v>117.9999999969732</v>
      </c>
      <c r="X262" s="61" t="s">
        <v>86</v>
      </c>
      <c r="Y262" s="61">
        <v>7200</v>
      </c>
      <c r="Z262" s="63">
        <f>SUM(S262:S268)</f>
        <v>1738.000000017928</v>
      </c>
      <c r="AA262" s="63">
        <f>SUM(T262:T268)</f>
        <v>3507.9999999934807</v>
      </c>
      <c r="AB262" s="63">
        <f>SUM(U262:U268)</f>
        <v>373.00000000046566</v>
      </c>
      <c r="AC262" s="63">
        <f>SUM(V262:V268)</f>
        <v>4579.9999999883585</v>
      </c>
    </row>
    <row r="263" spans="1:29" ht="15.75" thickBot="1">
      <c r="A263" s="101" t="s">
        <v>738</v>
      </c>
      <c r="B263" s="59" t="s">
        <v>742</v>
      </c>
      <c r="C263" s="142">
        <v>46273</v>
      </c>
      <c r="D263" s="18">
        <v>0.35625000000000001</v>
      </c>
      <c r="E263" s="142">
        <v>46273</v>
      </c>
      <c r="F263" s="18">
        <v>0.59652777777777777</v>
      </c>
      <c r="G263" s="142">
        <v>46273</v>
      </c>
      <c r="H263" s="18">
        <v>0.6958333333333333</v>
      </c>
      <c r="I263" s="133">
        <v>46273</v>
      </c>
      <c r="J263" s="18">
        <v>0.74444444444444446</v>
      </c>
      <c r="M263" s="103">
        <f t="shared" si="276"/>
        <v>0.24027777778246673</v>
      </c>
      <c r="N263" s="103">
        <f t="shared" si="277"/>
        <v>9.9305555551836733E-2</v>
      </c>
      <c r="O263" s="103">
        <f t="shared" si="278"/>
        <v>4.8611111109494232E-2</v>
      </c>
      <c r="P263" s="103">
        <f>(C264+D264)-(I263+J263)</f>
        <v>0.29027777777810115</v>
      </c>
      <c r="S263" s="34">
        <f t="shared" si="280"/>
        <v>346.00000000675209</v>
      </c>
      <c r="T263" s="34">
        <f t="shared" si="281"/>
        <v>142.9999999946449</v>
      </c>
      <c r="U263" s="34">
        <f t="shared" si="282"/>
        <v>69.999999997671694</v>
      </c>
      <c r="V263" s="34">
        <f t="shared" si="283"/>
        <v>418.00000000046566</v>
      </c>
      <c r="Z263" s="65">
        <f>(Z262/Y262)*100</f>
        <v>24.138888889137888</v>
      </c>
      <c r="AA263" s="68">
        <f>(AA262/Y262)*100</f>
        <v>48.722222222131677</v>
      </c>
      <c r="AB263" s="65">
        <f>(AB262/Y262)*100</f>
        <v>5.1805555555620231</v>
      </c>
      <c r="AC263" s="66">
        <f>(AC262/Y262)*100</f>
        <v>63.611111110949423</v>
      </c>
    </row>
    <row r="264" spans="1:29">
      <c r="A264" s="101" t="s">
        <v>738</v>
      </c>
      <c r="B264" s="59" t="s">
        <v>742</v>
      </c>
      <c r="C264" s="142">
        <v>46274</v>
      </c>
      <c r="D264" s="18">
        <v>3.4722222222222224E-2</v>
      </c>
      <c r="E264" s="142">
        <v>46274</v>
      </c>
      <c r="F264" s="18">
        <v>0.14097222222222222</v>
      </c>
      <c r="G264" s="142">
        <v>46274</v>
      </c>
      <c r="H264" s="18">
        <v>0.57152777777777775</v>
      </c>
      <c r="I264" s="142">
        <v>46274</v>
      </c>
      <c r="J264" s="18">
        <v>0.60555555555555551</v>
      </c>
      <c r="M264" s="67">
        <f t="shared" si="276"/>
        <v>0.10625000000436557</v>
      </c>
      <c r="N264" s="67">
        <f t="shared" si="277"/>
        <v>0.43055555555474712</v>
      </c>
      <c r="O264" s="67">
        <f t="shared" si="278"/>
        <v>3.4027777779556345E-2</v>
      </c>
      <c r="P264" s="67">
        <f t="shared" si="279"/>
        <v>2.9861111106583849E-2</v>
      </c>
      <c r="S264" s="62">
        <f t="shared" si="280"/>
        <v>153.00000000628643</v>
      </c>
      <c r="T264" s="62">
        <f t="shared" si="281"/>
        <v>619.99999999883585</v>
      </c>
      <c r="U264" s="62">
        <f t="shared" si="282"/>
        <v>49.000000002561137</v>
      </c>
      <c r="V264" s="62">
        <f t="shared" si="283"/>
        <v>42.999999993480742</v>
      </c>
    </row>
    <row r="265" spans="1:29">
      <c r="A265" s="101" t="s">
        <v>738</v>
      </c>
      <c r="B265" s="59" t="s">
        <v>742</v>
      </c>
      <c r="C265" s="142">
        <v>46274</v>
      </c>
      <c r="D265" s="18">
        <v>0.63541666666666663</v>
      </c>
      <c r="E265" s="142">
        <v>46274</v>
      </c>
      <c r="F265" s="18">
        <v>0.85486111111111107</v>
      </c>
      <c r="G265" s="142">
        <v>46275</v>
      </c>
      <c r="H265" s="18">
        <v>0.34444444444444444</v>
      </c>
      <c r="I265" s="142">
        <v>46275</v>
      </c>
      <c r="J265" s="18">
        <v>0.37708333333333338</v>
      </c>
      <c r="M265" s="103">
        <f t="shared" si="276"/>
        <v>0.21944444444670808</v>
      </c>
      <c r="N265" s="103">
        <f t="shared" si="277"/>
        <v>0.48958333333575865</v>
      </c>
      <c r="O265" s="103">
        <f t="shared" si="278"/>
        <v>3.2638888886140194E-2</v>
      </c>
      <c r="P265" s="103">
        <f t="shared" si="279"/>
        <v>5.6944444448163267E-2</v>
      </c>
      <c r="S265" s="34">
        <f t="shared" si="280"/>
        <v>316.00000000325963</v>
      </c>
      <c r="T265" s="34">
        <f t="shared" si="281"/>
        <v>705.00000000349246</v>
      </c>
      <c r="U265" s="34">
        <f t="shared" si="282"/>
        <v>46.999999996041879</v>
      </c>
      <c r="V265" s="34">
        <f t="shared" si="283"/>
        <v>82.000000005355105</v>
      </c>
    </row>
    <row r="266" spans="1:29">
      <c r="A266" s="101" t="s">
        <v>738</v>
      </c>
      <c r="B266" s="59" t="s">
        <v>742</v>
      </c>
      <c r="C266" s="142">
        <v>46275</v>
      </c>
      <c r="D266" s="18">
        <v>0.43402777777777779</v>
      </c>
      <c r="E266" s="142">
        <v>46275</v>
      </c>
      <c r="F266" s="18">
        <v>0.56041666666666667</v>
      </c>
      <c r="G266" s="142">
        <v>46275</v>
      </c>
      <c r="H266" s="18">
        <v>0.66666666666666663</v>
      </c>
      <c r="I266" s="142">
        <v>46275</v>
      </c>
      <c r="J266" s="18">
        <v>0.69722222222222219</v>
      </c>
      <c r="M266" s="67">
        <f t="shared" si="276"/>
        <v>0.12638888888614019</v>
      </c>
      <c r="N266" s="67">
        <f t="shared" si="277"/>
        <v>0.10624999999708962</v>
      </c>
      <c r="O266" s="67">
        <f t="shared" si="278"/>
        <v>3.0555555560567882E-2</v>
      </c>
      <c r="P266" s="67">
        <f t="shared" si="279"/>
        <v>6.1111111106583849E-2</v>
      </c>
      <c r="S266" s="62">
        <f t="shared" si="280"/>
        <v>181.99999999604188</v>
      </c>
      <c r="T266" s="62">
        <f t="shared" si="281"/>
        <v>152.99999999580905</v>
      </c>
      <c r="U266" s="62">
        <f t="shared" si="282"/>
        <v>44.00000000721775</v>
      </c>
      <c r="V266" s="62">
        <f t="shared" si="283"/>
        <v>87.999999993480742</v>
      </c>
    </row>
    <row r="267" spans="1:29">
      <c r="A267" s="101" t="s">
        <v>738</v>
      </c>
      <c r="B267" s="59" t="s">
        <v>742</v>
      </c>
      <c r="C267" s="142">
        <v>46275</v>
      </c>
      <c r="D267" s="18">
        <v>0.7583333333333333</v>
      </c>
      <c r="E267" s="142">
        <v>46275</v>
      </c>
      <c r="F267" s="18">
        <v>0.87222222222222223</v>
      </c>
      <c r="G267" s="142">
        <v>46276</v>
      </c>
      <c r="H267" s="18">
        <v>0.35416666666666669</v>
      </c>
      <c r="I267" s="142">
        <v>46276</v>
      </c>
      <c r="J267" s="18">
        <v>0.38750000000000001</v>
      </c>
      <c r="M267" s="103">
        <f t="shared" si="276"/>
        <v>0.11388888888905058</v>
      </c>
      <c r="N267" s="103">
        <f t="shared" si="277"/>
        <v>0.48194444444379769</v>
      </c>
      <c r="O267" s="103">
        <f t="shared" si="278"/>
        <v>3.3333333332848269E-2</v>
      </c>
      <c r="P267" s="103">
        <f t="shared" si="279"/>
        <v>7.4305555557657499E-2</v>
      </c>
      <c r="S267" s="34">
        <f t="shared" si="280"/>
        <v>164.00000000023283</v>
      </c>
      <c r="T267" s="34">
        <f t="shared" si="281"/>
        <v>693.99999999906868</v>
      </c>
      <c r="U267" s="34">
        <f t="shared" si="282"/>
        <v>47.999999999301508</v>
      </c>
      <c r="V267" s="34">
        <f t="shared" si="283"/>
        <v>107.0000000030268</v>
      </c>
    </row>
    <row r="268" spans="1:29" ht="15.75" thickBot="1">
      <c r="A268" s="102" t="s">
        <v>738</v>
      </c>
      <c r="B268" s="51" t="s">
        <v>742</v>
      </c>
      <c r="C268" s="147">
        <v>46276</v>
      </c>
      <c r="D268" s="46">
        <v>0.46180555555555558</v>
      </c>
      <c r="E268" s="147">
        <v>46276</v>
      </c>
      <c r="F268" s="46">
        <v>0.56805555555555554</v>
      </c>
      <c r="G268" s="147">
        <v>46276</v>
      </c>
      <c r="H268" s="46">
        <v>0.83680555555555558</v>
      </c>
      <c r="I268" s="147">
        <v>46276</v>
      </c>
      <c r="J268" s="46">
        <v>0.87986111111111109</v>
      </c>
      <c r="M268" s="41">
        <f t="shared" si="276"/>
        <v>0.10625000000436557</v>
      </c>
      <c r="N268" s="41">
        <f t="shared" si="277"/>
        <v>0.26874999999563443</v>
      </c>
      <c r="O268" s="41">
        <f t="shared" si="278"/>
        <v>4.3055555557657499E-2</v>
      </c>
      <c r="P268" s="41">
        <f t="shared" si="279"/>
        <v>2.586111111108039</v>
      </c>
      <c r="S268" s="90">
        <f t="shared" si="280"/>
        <v>153.00000000628643</v>
      </c>
      <c r="T268" s="90">
        <f>1440*N268</f>
        <v>386.99999999371357</v>
      </c>
      <c r="U268" s="90">
        <f t="shared" si="282"/>
        <v>62.000000003026798</v>
      </c>
      <c r="V268" s="90">
        <f t="shared" si="283"/>
        <v>3723.9999999955762</v>
      </c>
    </row>
    <row r="269" spans="1:29" ht="15.75" thickBot="1">
      <c r="A269" s="101" t="s">
        <v>760</v>
      </c>
      <c r="B269" s="59" t="s">
        <v>766</v>
      </c>
      <c r="C269" s="80">
        <v>46279</v>
      </c>
      <c r="D269" s="74">
        <v>0.46597222222222223</v>
      </c>
      <c r="E269" s="80">
        <v>46279</v>
      </c>
      <c r="F269" s="74">
        <v>0.90138888888888891</v>
      </c>
      <c r="G269" s="80">
        <v>46280</v>
      </c>
      <c r="H269" s="74">
        <v>6.805555555555555E-2</v>
      </c>
      <c r="I269" s="80">
        <v>46280</v>
      </c>
      <c r="J269" s="74">
        <v>0.11180555555555556</v>
      </c>
      <c r="M269" s="67">
        <f t="shared" si="276"/>
        <v>0.43541666666715173</v>
      </c>
      <c r="N269" s="67">
        <f t="shared" si="277"/>
        <v>0.16666666667151731</v>
      </c>
      <c r="O269" s="67">
        <f t="shared" si="278"/>
        <v>4.3749999997089617E-2</v>
      </c>
      <c r="P269" s="67">
        <f t="shared" si="279"/>
        <v>6.0416666667151731E-2</v>
      </c>
      <c r="S269" s="62">
        <f>1440*M269</f>
        <v>627.00000000069849</v>
      </c>
      <c r="T269" s="62">
        <f t="shared" si="281"/>
        <v>240.00000000698492</v>
      </c>
      <c r="U269" s="62">
        <f t="shared" si="282"/>
        <v>62.999999995809048</v>
      </c>
      <c r="V269" s="62">
        <f t="shared" si="283"/>
        <v>87.000000000698492</v>
      </c>
      <c r="X269" s="61" t="s">
        <v>86</v>
      </c>
      <c r="Y269" s="61">
        <v>7200</v>
      </c>
      <c r="Z269" s="63">
        <f>SUM(S269:S275)</f>
        <v>1994.9999999965075</v>
      </c>
      <c r="AA269" s="63">
        <f t="shared" ref="AA269:AC269" si="284">SUM(T269:T275)</f>
        <v>2893.0000000214204</v>
      </c>
      <c r="AB269" s="63">
        <f t="shared" si="284"/>
        <v>293.99999999441206</v>
      </c>
      <c r="AC269" s="63">
        <f t="shared" si="284"/>
        <v>5186.9999999867287</v>
      </c>
    </row>
    <row r="270" spans="1:29" ht="15.75" thickBot="1">
      <c r="A270" s="101" t="s">
        <v>760</v>
      </c>
      <c r="B270" s="59" t="s">
        <v>766</v>
      </c>
      <c r="C270" s="80">
        <v>46280</v>
      </c>
      <c r="D270" s="18">
        <v>0.17222222222222222</v>
      </c>
      <c r="E270" s="80">
        <v>46280</v>
      </c>
      <c r="F270" s="18">
        <v>0.5083333333333333</v>
      </c>
      <c r="G270" s="80">
        <v>46281</v>
      </c>
      <c r="H270" s="18">
        <v>4.791666666666667E-2</v>
      </c>
      <c r="I270" s="80">
        <v>46281</v>
      </c>
      <c r="J270" s="18">
        <v>8.5416666666666669E-2</v>
      </c>
      <c r="M270" s="67">
        <f t="shared" si="276"/>
        <v>0.33611111110803904</v>
      </c>
      <c r="N270" s="67">
        <f t="shared" si="277"/>
        <v>0.53958333333866904</v>
      </c>
      <c r="O270" s="67">
        <f t="shared" si="278"/>
        <v>3.7499999998544808E-2</v>
      </c>
      <c r="P270" s="67">
        <f t="shared" si="279"/>
        <v>6.3888888886140194E-2</v>
      </c>
      <c r="S270" s="62">
        <f t="shared" si="280"/>
        <v>483.99999999557622</v>
      </c>
      <c r="T270" s="62">
        <f t="shared" si="281"/>
        <v>777.00000000768341</v>
      </c>
      <c r="U270" s="62">
        <f t="shared" si="282"/>
        <v>53.999999997904524</v>
      </c>
      <c r="V270" s="62">
        <f t="shared" si="283"/>
        <v>91.999999996041879</v>
      </c>
      <c r="Z270" s="65">
        <f>(Z269/Y269)*100</f>
        <v>27.708333333284831</v>
      </c>
      <c r="AA270" s="68">
        <f>(AA269/Y269)*100</f>
        <v>40.180555555853061</v>
      </c>
      <c r="AB270" s="65">
        <f>(AB269/Y269)*100</f>
        <v>4.0833333332557231</v>
      </c>
      <c r="AC270" s="66">
        <f>(AC269/Y269)*100</f>
        <v>72.041666666482342</v>
      </c>
    </row>
    <row r="271" spans="1:29">
      <c r="A271" s="101" t="s">
        <v>760</v>
      </c>
      <c r="B271" s="59" t="s">
        <v>766</v>
      </c>
      <c r="C271" s="80">
        <v>46281</v>
      </c>
      <c r="D271" s="18">
        <v>0.14930555555555555</v>
      </c>
      <c r="E271" s="80">
        <v>46281</v>
      </c>
      <c r="F271" s="18">
        <v>0.2673611111111111</v>
      </c>
      <c r="G271" s="80">
        <v>46281</v>
      </c>
      <c r="H271" s="18">
        <v>0.29791666666666666</v>
      </c>
      <c r="I271" s="80">
        <v>46281</v>
      </c>
      <c r="J271" s="18">
        <v>0.3263888888888889</v>
      </c>
      <c r="M271" s="67">
        <f>(E271+F271)-(C271+D271)</f>
        <v>0.11805555555474712</v>
      </c>
      <c r="N271" s="67">
        <f t="shared" ref="N271:N277" si="285">(G271+H271)-(E271+F271)</f>
        <v>3.0555555560567882E-2</v>
      </c>
      <c r="O271" s="67">
        <f t="shared" ref="O271:O278" si="286">(I271+J271)-(G271+H271)</f>
        <v>2.8472222220443655E-2</v>
      </c>
      <c r="P271" s="67">
        <f t="shared" ref="P271:P278" si="287">(C272+D272)-(I271+J271)</f>
        <v>0.27430555555474712</v>
      </c>
      <c r="S271" s="62">
        <f>1440*M271</f>
        <v>169.99999999883585</v>
      </c>
      <c r="T271" s="62">
        <f t="shared" ref="T271:T278" si="288">1440*N271</f>
        <v>44.00000000721775</v>
      </c>
      <c r="U271" s="62">
        <f t="shared" ref="U271:U278" si="289">1440*O271</f>
        <v>40.999999997438863</v>
      </c>
      <c r="V271" s="62">
        <f t="shared" ref="V271:V278" si="290">1440*P271</f>
        <v>394.99999999883585</v>
      </c>
    </row>
    <row r="272" spans="1:29">
      <c r="A272" s="101" t="s">
        <v>760</v>
      </c>
      <c r="B272" s="59" t="s">
        <v>766</v>
      </c>
      <c r="C272" s="80">
        <v>46281</v>
      </c>
      <c r="D272" s="18">
        <v>0.60069444444444442</v>
      </c>
      <c r="E272" s="80">
        <v>46281</v>
      </c>
      <c r="F272" s="18">
        <v>0.72499999999999998</v>
      </c>
      <c r="G272" s="80">
        <v>46282</v>
      </c>
      <c r="H272" s="18">
        <v>0.27569444444444446</v>
      </c>
      <c r="I272" s="80">
        <v>46282</v>
      </c>
      <c r="J272" s="18">
        <v>0.30486111111111114</v>
      </c>
      <c r="M272" s="67">
        <f t="shared" ref="M272:M278" si="291">(E272+F272)-(C272+D272)</f>
        <v>0.12430555555329192</v>
      </c>
      <c r="N272" s="67">
        <f t="shared" si="285"/>
        <v>0.5506944444423425</v>
      </c>
      <c r="O272" s="67">
        <f t="shared" si="286"/>
        <v>2.9166666667151731E-2</v>
      </c>
      <c r="P272" s="67">
        <f t="shared" si="287"/>
        <v>6.1111111113859806E-2</v>
      </c>
      <c r="S272" s="62">
        <f t="shared" ref="S272:S278" si="292">1440*M272</f>
        <v>178.99999999674037</v>
      </c>
      <c r="T272" s="62">
        <f t="shared" si="288"/>
        <v>792.9999999969732</v>
      </c>
      <c r="U272" s="62">
        <f t="shared" si="289"/>
        <v>42.000000000698492</v>
      </c>
      <c r="V272" s="62">
        <f t="shared" si="290"/>
        <v>88.000000003958121</v>
      </c>
    </row>
    <row r="273" spans="1:29">
      <c r="A273" s="101" t="s">
        <v>760</v>
      </c>
      <c r="B273" s="59" t="s">
        <v>766</v>
      </c>
      <c r="C273" s="80">
        <v>46282</v>
      </c>
      <c r="D273" s="18">
        <v>0.3659722222222222</v>
      </c>
      <c r="E273" s="80">
        <v>46282</v>
      </c>
      <c r="F273" s="18">
        <v>0.49236111111111114</v>
      </c>
      <c r="G273" s="80">
        <v>46282</v>
      </c>
      <c r="H273" s="18">
        <v>0.76597222222222228</v>
      </c>
      <c r="I273" s="80">
        <v>46282</v>
      </c>
      <c r="J273" s="18">
        <v>0.79236111111111107</v>
      </c>
      <c r="M273" s="67">
        <f t="shared" si="291"/>
        <v>0.12638888888614019</v>
      </c>
      <c r="N273" s="67">
        <f t="shared" si="285"/>
        <v>0.273611111115315</v>
      </c>
      <c r="O273" s="67">
        <f t="shared" si="286"/>
        <v>2.6388888887595385E-2</v>
      </c>
      <c r="P273" s="67">
        <f t="shared" si="287"/>
        <v>9.5833333332848269E-2</v>
      </c>
      <c r="S273" s="62">
        <f t="shared" si="292"/>
        <v>181.99999999604188</v>
      </c>
      <c r="T273" s="62">
        <f t="shared" si="288"/>
        <v>394.0000000060536</v>
      </c>
      <c r="U273" s="62">
        <f t="shared" si="289"/>
        <v>37.999999998137355</v>
      </c>
      <c r="V273" s="62">
        <f t="shared" si="290"/>
        <v>137.99999999930151</v>
      </c>
    </row>
    <row r="274" spans="1:29">
      <c r="A274" s="101" t="s">
        <v>760</v>
      </c>
      <c r="B274" s="59" t="s">
        <v>766</v>
      </c>
      <c r="C274" s="80">
        <v>46282</v>
      </c>
      <c r="D274" s="18">
        <v>0.8881944444444444</v>
      </c>
      <c r="E274" s="80">
        <v>46283</v>
      </c>
      <c r="F274" s="18">
        <v>6.9444444444444441E-3</v>
      </c>
      <c r="G274" s="80">
        <v>46283</v>
      </c>
      <c r="H274" s="18">
        <v>0.41041666666666665</v>
      </c>
      <c r="I274" s="80">
        <v>46283</v>
      </c>
      <c r="J274" s="18">
        <v>0.41180555555555554</v>
      </c>
      <c r="M274" s="67">
        <f t="shared" si="291"/>
        <v>0.11875000000145519</v>
      </c>
      <c r="N274" s="67">
        <f t="shared" si="285"/>
        <v>0.40347222222044365</v>
      </c>
      <c r="O274" s="67">
        <f t="shared" si="286"/>
        <v>1.3888888934161514E-3</v>
      </c>
      <c r="P274" s="67">
        <f t="shared" si="287"/>
        <v>0.13194444443797693</v>
      </c>
      <c r="S274" s="62">
        <f t="shared" si="292"/>
        <v>171.00000000209548</v>
      </c>
      <c r="T274" s="62">
        <f t="shared" si="288"/>
        <v>580.99999999743886</v>
      </c>
      <c r="U274" s="62">
        <f t="shared" si="289"/>
        <v>2.000000006519258</v>
      </c>
      <c r="V274" s="62">
        <f t="shared" si="290"/>
        <v>189.99999999068677</v>
      </c>
    </row>
    <row r="275" spans="1:29" ht="15.75" thickBot="1">
      <c r="A275" s="102" t="s">
        <v>760</v>
      </c>
      <c r="B275" s="51" t="s">
        <v>766</v>
      </c>
      <c r="C275" s="45">
        <v>46283</v>
      </c>
      <c r="D275" s="46">
        <v>0.54374999999999996</v>
      </c>
      <c r="E275" s="45">
        <v>46283</v>
      </c>
      <c r="F275" s="46">
        <v>0.67013888888888884</v>
      </c>
      <c r="G275" s="45">
        <v>46283</v>
      </c>
      <c r="H275" s="46">
        <v>0.71458333333333335</v>
      </c>
      <c r="I275" s="45">
        <v>46283</v>
      </c>
      <c r="J275" s="46">
        <v>0.75208333333333333</v>
      </c>
      <c r="M275" s="41">
        <f t="shared" si="291"/>
        <v>0.12638888889341615</v>
      </c>
      <c r="N275" s="41">
        <f t="shared" si="285"/>
        <v>4.4444444443797693E-2</v>
      </c>
      <c r="O275" s="41">
        <f t="shared" si="286"/>
        <v>3.7499999998544808E-2</v>
      </c>
      <c r="P275" s="41">
        <f>(C276+D276)-(I275+J275)</f>
        <v>2.9145833333313931</v>
      </c>
      <c r="S275" s="90">
        <f t="shared" si="292"/>
        <v>182.00000000651926</v>
      </c>
      <c r="T275" s="90">
        <f t="shared" si="288"/>
        <v>63.999999999068677</v>
      </c>
      <c r="U275" s="90">
        <f t="shared" si="289"/>
        <v>53.999999997904524</v>
      </c>
      <c r="V275" s="90">
        <f>1440*P275</f>
        <v>4196.999999997206</v>
      </c>
    </row>
    <row r="276" spans="1:29" ht="15.75" thickBot="1">
      <c r="A276" s="101" t="s">
        <v>780</v>
      </c>
      <c r="B276" s="59" t="s">
        <v>781</v>
      </c>
      <c r="C276" s="80">
        <v>46286</v>
      </c>
      <c r="D276" s="74">
        <v>0.66666666666666663</v>
      </c>
      <c r="E276" s="80">
        <v>46286</v>
      </c>
      <c r="F276" s="74">
        <v>0.77569444444444446</v>
      </c>
      <c r="G276" s="80">
        <v>46286</v>
      </c>
      <c r="H276" s="74">
        <v>0.94236111111111109</v>
      </c>
      <c r="I276" s="80">
        <v>46286</v>
      </c>
      <c r="J276" s="74">
        <v>0.9868055555555556</v>
      </c>
      <c r="M276" s="67">
        <f t="shared" si="291"/>
        <v>0.10902777777664596</v>
      </c>
      <c r="N276" s="67">
        <f t="shared" si="285"/>
        <v>0.16666666667151731</v>
      </c>
      <c r="O276" s="67">
        <f t="shared" si="286"/>
        <v>4.4444444443797693E-2</v>
      </c>
      <c r="P276" s="67">
        <f t="shared" si="287"/>
        <v>0.21250000000145519</v>
      </c>
      <c r="S276" s="62">
        <f t="shared" si="292"/>
        <v>156.99999999837019</v>
      </c>
      <c r="T276" s="62">
        <f t="shared" si="288"/>
        <v>240.00000000698492</v>
      </c>
      <c r="U276" s="62">
        <f t="shared" si="289"/>
        <v>63.999999999068677</v>
      </c>
      <c r="V276" s="62">
        <f t="shared" si="290"/>
        <v>306.00000000209548</v>
      </c>
      <c r="X276" s="61" t="s">
        <v>86</v>
      </c>
      <c r="Y276" s="61">
        <v>7200</v>
      </c>
      <c r="Z276" s="63">
        <f>SUM(S276:S281)</f>
        <v>1191.0000000055879</v>
      </c>
      <c r="AA276" s="63">
        <f>SUM(T276:T281)</f>
        <v>2748.0000000097789</v>
      </c>
      <c r="AB276" s="63">
        <f>SUM(U276:U281)</f>
        <v>428.99999999441206</v>
      </c>
      <c r="AC276" s="63">
        <f>SUM(V276:V281)</f>
        <v>2471.9999999965075</v>
      </c>
    </row>
    <row r="277" spans="1:29" ht="15.75" thickBot="1">
      <c r="A277" s="101" t="s">
        <v>780</v>
      </c>
      <c r="B277" s="59" t="s">
        <v>781</v>
      </c>
      <c r="C277" s="80">
        <v>46287</v>
      </c>
      <c r="D277" s="18">
        <v>0.19930555555555557</v>
      </c>
      <c r="E277" s="80">
        <v>46287</v>
      </c>
      <c r="F277" s="18">
        <v>0.42152777777777778</v>
      </c>
      <c r="G277" s="80">
        <v>46287</v>
      </c>
      <c r="H277" s="18">
        <v>0.68125000000000002</v>
      </c>
      <c r="I277" s="80">
        <v>46287</v>
      </c>
      <c r="J277" s="18">
        <v>0.71875</v>
      </c>
      <c r="M277" s="67">
        <f t="shared" si="291"/>
        <v>0.22222222221898846</v>
      </c>
      <c r="N277" s="67">
        <f t="shared" si="285"/>
        <v>0.25972222222480923</v>
      </c>
      <c r="O277" s="67">
        <f t="shared" si="286"/>
        <v>3.7499999998544808E-2</v>
      </c>
      <c r="P277" s="67">
        <f t="shared" si="287"/>
        <v>3.8194444445252884E-2</v>
      </c>
      <c r="S277" s="62">
        <f t="shared" si="292"/>
        <v>319.99999999534339</v>
      </c>
      <c r="T277" s="62">
        <f t="shared" si="288"/>
        <v>374.00000000372529</v>
      </c>
      <c r="U277" s="62">
        <f t="shared" si="289"/>
        <v>53.999999997904524</v>
      </c>
      <c r="V277" s="62">
        <f>1440*P277</f>
        <v>55.000000001164153</v>
      </c>
      <c r="Z277" s="65">
        <f>(Z276/Y276)*100</f>
        <v>16.541666666744277</v>
      </c>
      <c r="AA277" s="68">
        <f>(AA276/Y276)*100</f>
        <v>38.166666666802485</v>
      </c>
      <c r="AB277" s="65">
        <f>(AB276/Y276)*100</f>
        <v>5.9583333332557231</v>
      </c>
      <c r="AC277" s="66">
        <f>(AC276/Y276)*100</f>
        <v>34.333333333284827</v>
      </c>
    </row>
    <row r="278" spans="1:29">
      <c r="A278" s="101" t="s">
        <v>780</v>
      </c>
      <c r="B278" s="59" t="s">
        <v>781</v>
      </c>
      <c r="C278" s="80">
        <v>46287</v>
      </c>
      <c r="D278" s="18">
        <v>0.75694444444444442</v>
      </c>
      <c r="E278" s="80">
        <v>46287</v>
      </c>
      <c r="F278" s="18">
        <v>0.90902777777777777</v>
      </c>
      <c r="G278" s="80">
        <v>46288</v>
      </c>
      <c r="H278" s="18">
        <v>0.43263888888888891</v>
      </c>
      <c r="I278" s="80">
        <v>46288</v>
      </c>
      <c r="J278" s="18">
        <v>0.47708333333333336</v>
      </c>
      <c r="M278" s="67">
        <f t="shared" si="291"/>
        <v>0.15208333333430346</v>
      </c>
      <c r="N278" s="67">
        <f>(G278+H278)-(E278+F278)</f>
        <v>0.52361111110803904</v>
      </c>
      <c r="O278" s="67">
        <f t="shared" si="286"/>
        <v>4.4444444443797693E-2</v>
      </c>
      <c r="P278" s="67">
        <f t="shared" si="287"/>
        <v>6.8749999998544808E-2</v>
      </c>
      <c r="S278" s="62">
        <f t="shared" si="292"/>
        <v>219.00000000139698</v>
      </c>
      <c r="T278" s="62">
        <f t="shared" si="288"/>
        <v>753.99999999557622</v>
      </c>
      <c r="U278" s="62">
        <f t="shared" si="289"/>
        <v>63.999999999068677</v>
      </c>
      <c r="V278" s="62">
        <f t="shared" si="290"/>
        <v>98.999999997904524</v>
      </c>
    </row>
    <row r="279" spans="1:29">
      <c r="A279" s="101" t="s">
        <v>780</v>
      </c>
      <c r="B279" s="59" t="s">
        <v>781</v>
      </c>
      <c r="C279" s="80">
        <v>46288</v>
      </c>
      <c r="D279" s="18">
        <v>0.54583333333333328</v>
      </c>
      <c r="E279" s="80">
        <v>46288</v>
      </c>
      <c r="F279" s="18">
        <v>0.65902777777777777</v>
      </c>
      <c r="G279" s="80">
        <v>46289</v>
      </c>
      <c r="H279" s="18">
        <v>0.22569444444444445</v>
      </c>
      <c r="I279" s="80">
        <v>46289</v>
      </c>
      <c r="J279" s="18">
        <v>0.27777777777777779</v>
      </c>
      <c r="M279" s="67">
        <f t="shared" ref="M279:M282" si="293">(E279+F279)-(C279+D279)</f>
        <v>0.11319444444961846</v>
      </c>
      <c r="N279" s="67">
        <f t="shared" ref="N279:N282" si="294">(G279+H279)-(E279+F279)</f>
        <v>0.56666666666569654</v>
      </c>
      <c r="O279" s="67">
        <f t="shared" ref="O279" si="295">(I279+J279)-(G279+H279)</f>
        <v>5.2083333335758653E-2</v>
      </c>
      <c r="P279" s="67">
        <f>(C280+D280)-(I279+J279)</f>
        <v>0.59166666665987577</v>
      </c>
      <c r="S279" s="62">
        <f t="shared" ref="S279:S281" si="296">1440*M279</f>
        <v>163.00000000745058</v>
      </c>
      <c r="T279" s="62">
        <f t="shared" ref="T279:T281" si="297">1440*N279</f>
        <v>815.99999999860302</v>
      </c>
      <c r="U279" s="62">
        <f t="shared" ref="U279:U282" si="298">1440*O279</f>
        <v>75.00000000349246</v>
      </c>
      <c r="V279" s="62">
        <f t="shared" ref="V279:V280" si="299">1440*P279</f>
        <v>851.99999999022111</v>
      </c>
    </row>
    <row r="280" spans="1:29">
      <c r="A280" s="101" t="s">
        <v>780</v>
      </c>
      <c r="B280" s="59" t="s">
        <v>781</v>
      </c>
      <c r="C280" s="80">
        <v>46289</v>
      </c>
      <c r="D280" s="18">
        <v>0.86944444444444446</v>
      </c>
      <c r="E280" s="80">
        <v>46289</v>
      </c>
      <c r="F280" s="18">
        <v>0.98472222222222217</v>
      </c>
      <c r="G280" s="80">
        <v>46290</v>
      </c>
      <c r="H280" s="18">
        <v>5.4166666666666669E-2</v>
      </c>
      <c r="I280" s="80">
        <v>46290</v>
      </c>
      <c r="J280" s="18">
        <v>0.11805555555555557</v>
      </c>
      <c r="M280" s="67">
        <f t="shared" si="293"/>
        <v>0.11527777778246673</v>
      </c>
      <c r="N280" s="67">
        <f t="shared" si="294"/>
        <v>6.9444444445252884E-2</v>
      </c>
      <c r="O280" s="67">
        <f>(I280+J280)-(G280+H280)</f>
        <v>6.3888888886140194E-2</v>
      </c>
      <c r="P280" s="67">
        <f t="shared" ref="P280:P282" si="300">(C281+D281)-(I280+J280)</f>
        <v>5.5555555591126904E-3</v>
      </c>
      <c r="S280" s="62">
        <f t="shared" si="296"/>
        <v>166.00000000675209</v>
      </c>
      <c r="T280" s="62">
        <f t="shared" si="297"/>
        <v>100.00000000116415</v>
      </c>
      <c r="U280" s="62">
        <f t="shared" si="298"/>
        <v>91.999999996041879</v>
      </c>
      <c r="V280" s="62">
        <f t="shared" si="299"/>
        <v>8.0000000051222742</v>
      </c>
    </row>
    <row r="281" spans="1:29" ht="15.75" thickBot="1">
      <c r="A281" s="102" t="s">
        <v>780</v>
      </c>
      <c r="B281" s="51" t="s">
        <v>781</v>
      </c>
      <c r="C281" s="45">
        <v>46290</v>
      </c>
      <c r="D281" s="46">
        <v>0.12361111111111112</v>
      </c>
      <c r="E281" s="45">
        <v>46290</v>
      </c>
      <c r="F281" s="46">
        <v>0.2388888888888889</v>
      </c>
      <c r="G281" s="45">
        <v>46290</v>
      </c>
      <c r="H281" s="46">
        <v>0.56111111111111112</v>
      </c>
      <c r="I281" s="45">
        <v>46290</v>
      </c>
      <c r="J281" s="46">
        <v>0.6166666666666667</v>
      </c>
      <c r="M281" s="41">
        <f t="shared" si="293"/>
        <v>0.11527777777519077</v>
      </c>
      <c r="N281" s="41">
        <f>(G281+H281)-(E281+F281)</f>
        <v>0.32222222222480923</v>
      </c>
      <c r="O281" s="41">
        <f>(I281+J281)-(G281+H281)</f>
        <v>5.5555555554747116E-2</v>
      </c>
      <c r="P281" s="41">
        <f t="shared" si="300"/>
        <v>2.7999999999956344</v>
      </c>
      <c r="S281" s="90">
        <f t="shared" si="296"/>
        <v>165.99999999627471</v>
      </c>
      <c r="T281" s="90">
        <f t="shared" si="297"/>
        <v>464.00000000372529</v>
      </c>
      <c r="U281" s="90">
        <f t="shared" si="298"/>
        <v>79.999999998835847</v>
      </c>
      <c r="V281" s="90">
        <v>1152</v>
      </c>
    </row>
    <row r="282" spans="1:29" ht="15.75" thickBot="1">
      <c r="A282" s="101" t="s">
        <v>797</v>
      </c>
      <c r="B282" s="59" t="s">
        <v>798</v>
      </c>
      <c r="C282" s="80">
        <v>46293</v>
      </c>
      <c r="D282" s="74">
        <v>0.41666666666666669</v>
      </c>
      <c r="E282" s="80">
        <v>46293</v>
      </c>
      <c r="F282" s="74">
        <v>0.53472222222222221</v>
      </c>
      <c r="G282" s="80">
        <v>46294</v>
      </c>
      <c r="H282" s="74">
        <v>0.12430555555555556</v>
      </c>
      <c r="I282" s="80">
        <v>46294</v>
      </c>
      <c r="J282" s="74">
        <v>0.16875000000000001</v>
      </c>
      <c r="M282" s="67">
        <f t="shared" si="293"/>
        <v>0.11805555555474712</v>
      </c>
      <c r="N282" s="67">
        <f t="shared" si="294"/>
        <v>0.58958333333430346</v>
      </c>
      <c r="O282" s="67">
        <f>(I282+J282)-(G282+H282)</f>
        <v>4.4444444443797693E-2</v>
      </c>
      <c r="P282" s="67">
        <f t="shared" si="300"/>
        <v>6.3888888893416151E-2</v>
      </c>
      <c r="S282" s="62">
        <f>1440*M282</f>
        <v>169.99999999883585</v>
      </c>
      <c r="T282" s="62">
        <f t="shared" ref="T282" si="301">1440*N282</f>
        <v>849.00000000139698</v>
      </c>
      <c r="U282" s="62">
        <f t="shared" si="298"/>
        <v>63.999999999068677</v>
      </c>
      <c r="V282" s="62">
        <f t="shared" ref="V282" si="302">1440*P282</f>
        <v>92.000000006519258</v>
      </c>
      <c r="X282" s="61" t="s">
        <v>86</v>
      </c>
      <c r="Y282" s="61">
        <v>7200</v>
      </c>
      <c r="Z282" s="63">
        <f>SUM(S282:S287)</f>
        <v>971.99999999371357</v>
      </c>
      <c r="AA282" s="63">
        <f t="shared" ref="AA282:AC282" si="303">SUM(T282:T287)</f>
        <v>3941.0000000002328</v>
      </c>
      <c r="AB282" s="63">
        <f t="shared" si="303"/>
        <v>1201.9999999995343</v>
      </c>
      <c r="AC282" s="63">
        <f t="shared" si="303"/>
        <v>-66668634.999999993</v>
      </c>
    </row>
    <row r="283" spans="1:29" ht="15.75" thickBot="1">
      <c r="A283" s="101" t="s">
        <v>797</v>
      </c>
      <c r="B283" s="59" t="s">
        <v>798</v>
      </c>
      <c r="C283" s="80">
        <v>46294</v>
      </c>
      <c r="D283" s="18">
        <v>0.2326388888888889</v>
      </c>
      <c r="E283" s="80">
        <v>46294</v>
      </c>
      <c r="F283" s="18">
        <v>0.35069444444444442</v>
      </c>
      <c r="G283" s="80">
        <v>46294</v>
      </c>
      <c r="H283" s="18">
        <v>0.82291666666666663</v>
      </c>
      <c r="I283" s="80">
        <v>46294</v>
      </c>
      <c r="J283" s="18">
        <v>0.87777777777777777</v>
      </c>
      <c r="M283" s="67">
        <f t="shared" ref="M283:M288" si="304">(E283+F283)-(C283+D283)</f>
        <v>0.11805555555474712</v>
      </c>
      <c r="N283" s="67">
        <f t="shared" ref="N283:N288" si="305">(G283+H283)-(E283+F283)</f>
        <v>0.47222222221898846</v>
      </c>
      <c r="O283" s="67">
        <f t="shared" ref="O283:O288" si="306">(I283+J283)-(G283+H283)</f>
        <v>5.4861111115314998E-2</v>
      </c>
      <c r="P283" s="67">
        <f t="shared" ref="P283:P288" si="307">(C284+D284)-(I283+J283)</f>
        <v>9.5833333332848269E-2</v>
      </c>
      <c r="S283" s="62">
        <f t="shared" ref="S283:S288" si="308">1440*M283</f>
        <v>169.99999999883585</v>
      </c>
      <c r="T283" s="62">
        <f t="shared" ref="T283:T288" si="309">1440*N283</f>
        <v>679.99999999534339</v>
      </c>
      <c r="U283" s="62">
        <f t="shared" ref="U283:U288" si="310">1440*O283</f>
        <v>79.000000006053597</v>
      </c>
      <c r="V283" s="62">
        <f t="shared" ref="V283:V288" si="311">1440*P283</f>
        <v>137.99999999930151</v>
      </c>
      <c r="Z283" s="65">
        <f>(Z282/Y282)*100</f>
        <v>13.499999999912687</v>
      </c>
      <c r="AA283" s="68">
        <f>(AA282/Y282)*100</f>
        <v>54.736111111114347</v>
      </c>
      <c r="AB283" s="65">
        <f>(AB282/Y282)*100</f>
        <v>16.694444444437977</v>
      </c>
      <c r="AC283" s="66">
        <f>(AC282/Y282)*100</f>
        <v>-925953.26388888876</v>
      </c>
    </row>
    <row r="284" spans="1:29">
      <c r="A284" s="101" t="s">
        <v>797</v>
      </c>
      <c r="B284" s="59" t="s">
        <v>798</v>
      </c>
      <c r="C284" s="80">
        <v>46294</v>
      </c>
      <c r="D284" s="18">
        <v>0.97361111111111109</v>
      </c>
      <c r="E284" s="80">
        <v>46295</v>
      </c>
      <c r="F284" s="18">
        <v>9.2361111111111116E-2</v>
      </c>
      <c r="G284" s="80">
        <v>46295</v>
      </c>
      <c r="H284" s="18">
        <v>0.73402777777777772</v>
      </c>
      <c r="I284" s="80">
        <v>46295</v>
      </c>
      <c r="J284" s="18">
        <v>0.78819444444444442</v>
      </c>
      <c r="M284" s="67">
        <f t="shared" si="304"/>
        <v>0.11875000000145519</v>
      </c>
      <c r="N284" s="67">
        <f t="shared" si="305"/>
        <v>0.64166666666278616</v>
      </c>
      <c r="O284" s="67">
        <f t="shared" si="306"/>
        <v>5.4166666668606922E-2</v>
      </c>
      <c r="P284" s="67">
        <f t="shared" si="307"/>
        <v>9.0972222220443655E-2</v>
      </c>
      <c r="S284" s="62">
        <f t="shared" si="308"/>
        <v>171.00000000209548</v>
      </c>
      <c r="T284" s="62">
        <f t="shared" si="309"/>
        <v>923.99999999441206</v>
      </c>
      <c r="U284" s="62">
        <f t="shared" si="310"/>
        <v>78.000000002793968</v>
      </c>
      <c r="V284" s="62">
        <f t="shared" si="311"/>
        <v>130.99999999743886</v>
      </c>
    </row>
    <row r="285" spans="1:29">
      <c r="A285" s="101" t="s">
        <v>797</v>
      </c>
      <c r="B285" s="59" t="s">
        <v>798</v>
      </c>
      <c r="C285" s="80">
        <v>46295</v>
      </c>
      <c r="D285" s="18">
        <v>0.87916666666666665</v>
      </c>
      <c r="E285" s="80">
        <v>46295</v>
      </c>
      <c r="F285" s="18">
        <v>0.98958333333333337</v>
      </c>
      <c r="G285" s="80">
        <v>46296</v>
      </c>
      <c r="H285" s="18">
        <v>0.43402777777777779</v>
      </c>
      <c r="I285" s="80">
        <v>46296</v>
      </c>
      <c r="J285" s="18">
        <v>0.47638888888888886</v>
      </c>
      <c r="M285" s="67">
        <f t="shared" si="304"/>
        <v>0.11041666667006211</v>
      </c>
      <c r="N285" s="67">
        <f t="shared" si="305"/>
        <v>0.44444444444525288</v>
      </c>
      <c r="O285" s="67">
        <f t="shared" si="306"/>
        <v>4.2361111110949423E-2</v>
      </c>
      <c r="P285" s="67">
        <f t="shared" si="307"/>
        <v>4.0277777778101154E-2</v>
      </c>
      <c r="S285" s="62">
        <f t="shared" si="308"/>
        <v>159.00000000488944</v>
      </c>
      <c r="T285" s="62">
        <f t="shared" si="309"/>
        <v>640.00000000116415</v>
      </c>
      <c r="U285" s="62">
        <f t="shared" si="310"/>
        <v>60.999999999767169</v>
      </c>
      <c r="V285" s="62">
        <f t="shared" si="311"/>
        <v>58.000000000465661</v>
      </c>
    </row>
    <row r="286" spans="1:29">
      <c r="A286" s="101" t="s">
        <v>797</v>
      </c>
      <c r="B286" s="59" t="s">
        <v>798</v>
      </c>
      <c r="C286" s="80">
        <v>46296</v>
      </c>
      <c r="D286" s="18">
        <v>0.51666666666666672</v>
      </c>
      <c r="E286" s="80">
        <v>46296</v>
      </c>
      <c r="F286" s="18">
        <v>0.62847222222222221</v>
      </c>
      <c r="G286" s="80">
        <v>46296</v>
      </c>
      <c r="H286" s="18">
        <v>0.90694444444444444</v>
      </c>
      <c r="I286" s="80">
        <v>46296</v>
      </c>
      <c r="J286" s="18">
        <v>0.93263888888888891</v>
      </c>
      <c r="M286" s="67">
        <f t="shared" si="304"/>
        <v>0.11180555554892635</v>
      </c>
      <c r="N286" s="67">
        <f t="shared" si="305"/>
        <v>0.27847222222771961</v>
      </c>
      <c r="O286" s="67">
        <f t="shared" si="306"/>
        <v>2.569444444088731E-2</v>
      </c>
      <c r="P286" s="67">
        <f t="shared" si="307"/>
        <v>4.5833333337213844E-2</v>
      </c>
      <c r="S286" s="62">
        <f t="shared" si="308"/>
        <v>160.99999999045394</v>
      </c>
      <c r="T286" s="62">
        <f t="shared" si="309"/>
        <v>401.00000000791624</v>
      </c>
      <c r="U286" s="62">
        <f t="shared" si="310"/>
        <v>36.999999994877726</v>
      </c>
      <c r="V286" s="62">
        <f t="shared" si="311"/>
        <v>66.000000005587935</v>
      </c>
    </row>
    <row r="287" spans="1:29">
      <c r="A287" s="101" t="s">
        <v>797</v>
      </c>
      <c r="B287" s="59" t="s">
        <v>798</v>
      </c>
      <c r="C287" s="80">
        <v>46296</v>
      </c>
      <c r="D287" s="18">
        <v>0.97847222222222219</v>
      </c>
      <c r="E287" s="80">
        <v>46297</v>
      </c>
      <c r="F287" s="18">
        <v>7.6388888888888895E-2</v>
      </c>
      <c r="G287" s="80">
        <v>46297</v>
      </c>
      <c r="H287" s="18">
        <v>0.38680555555555557</v>
      </c>
      <c r="I287" s="80">
        <v>46298</v>
      </c>
      <c r="J287" s="18"/>
      <c r="M287" s="67">
        <f t="shared" si="304"/>
        <v>9.7916666665696539E-2</v>
      </c>
      <c r="N287" s="67">
        <f t="shared" si="305"/>
        <v>0.31041666666715173</v>
      </c>
      <c r="O287" s="67">
        <f t="shared" si="306"/>
        <v>0.6131944444423425</v>
      </c>
      <c r="P287" s="67">
        <f>(C288+D288)-(I287+J287)</f>
        <v>-46298</v>
      </c>
      <c r="S287" s="62">
        <f t="shared" si="308"/>
        <v>140.99999999860302</v>
      </c>
      <c r="T287" s="62">
        <v>447</v>
      </c>
      <c r="U287" s="62">
        <f t="shared" si="310"/>
        <v>882.9999999969732</v>
      </c>
      <c r="V287" s="62">
        <f t="shared" si="311"/>
        <v>-66669120</v>
      </c>
    </row>
    <row r="288" spans="1:29" ht="15.75" thickBot="1">
      <c r="A288" s="102" t="s">
        <v>797</v>
      </c>
      <c r="B288" s="51" t="s">
        <v>798</v>
      </c>
      <c r="C288" s="190"/>
      <c r="D288" s="190"/>
      <c r="E288" s="190"/>
      <c r="F288" s="190"/>
      <c r="G288" s="190"/>
      <c r="H288" s="190"/>
      <c r="I288" s="190"/>
      <c r="J288" s="190"/>
      <c r="M288" s="41">
        <f t="shared" si="304"/>
        <v>0</v>
      </c>
      <c r="N288" s="41">
        <f t="shared" si="305"/>
        <v>0</v>
      </c>
      <c r="O288" s="41">
        <f t="shared" si="306"/>
        <v>0</v>
      </c>
      <c r="P288" s="41">
        <f t="shared" si="307"/>
        <v>0</v>
      </c>
      <c r="S288" s="90">
        <f t="shared" si="308"/>
        <v>0</v>
      </c>
      <c r="T288" s="90">
        <f t="shared" si="309"/>
        <v>0</v>
      </c>
      <c r="U288" s="90">
        <f t="shared" si="310"/>
        <v>0</v>
      </c>
      <c r="V288" s="90">
        <f t="shared" si="311"/>
        <v>0</v>
      </c>
    </row>
    <row r="289" spans="1:22">
      <c r="A289" s="101" t="s">
        <v>812</v>
      </c>
      <c r="B289" s="59" t="s">
        <v>814</v>
      </c>
      <c r="C289" s="189"/>
      <c r="D289" s="189"/>
      <c r="E289" s="189"/>
      <c r="F289" s="189"/>
      <c r="G289" s="189"/>
      <c r="H289" s="189"/>
      <c r="I289" s="189"/>
      <c r="J289" s="189"/>
      <c r="M289" s="67">
        <f t="shared" ref="M289:M297" si="312">(E289+F289)-(C289+D289)</f>
        <v>0</v>
      </c>
      <c r="N289" s="67">
        <f t="shared" ref="N289:N297" si="313">(G289+H289)-(E289+F289)</f>
        <v>0</v>
      </c>
      <c r="O289" s="67">
        <f t="shared" ref="O289:O290" si="314">(I289+J289)-(G289+H289)</f>
        <v>0</v>
      </c>
      <c r="P289" s="67">
        <f t="shared" ref="P289:P290" si="315">(C290+D290)-(I289+J289)</f>
        <v>0</v>
      </c>
      <c r="S289" s="62">
        <f t="shared" ref="S289:S297" si="316">1440*M289</f>
        <v>0</v>
      </c>
      <c r="T289" s="62">
        <f t="shared" ref="T289:T297" si="317">1440*N289</f>
        <v>0</v>
      </c>
      <c r="U289" s="62">
        <f t="shared" ref="U289:U297" si="318">1440*O289</f>
        <v>0</v>
      </c>
      <c r="V289" s="62">
        <f t="shared" ref="V289:V297" si="319">1440*P289</f>
        <v>0</v>
      </c>
    </row>
    <row r="290" spans="1:22">
      <c r="A290" s="101" t="s">
        <v>812</v>
      </c>
      <c r="B290" s="59" t="s">
        <v>814</v>
      </c>
      <c r="C290" s="1"/>
      <c r="D290" s="1"/>
      <c r="E290" s="1"/>
      <c r="F290" s="1"/>
      <c r="G290" s="1"/>
      <c r="H290" s="1"/>
      <c r="I290" s="1"/>
      <c r="J290" s="1"/>
      <c r="M290" s="67">
        <f t="shared" si="312"/>
        <v>0</v>
      </c>
      <c r="N290" s="67">
        <f t="shared" si="313"/>
        <v>0</v>
      </c>
      <c r="O290" s="67">
        <f t="shared" si="314"/>
        <v>0</v>
      </c>
      <c r="P290" s="67">
        <f t="shared" si="315"/>
        <v>0</v>
      </c>
      <c r="S290" s="62">
        <f t="shared" si="316"/>
        <v>0</v>
      </c>
      <c r="T290" s="62">
        <f t="shared" si="317"/>
        <v>0</v>
      </c>
      <c r="U290" s="62">
        <f t="shared" si="318"/>
        <v>0</v>
      </c>
      <c r="V290" s="62">
        <f t="shared" si="319"/>
        <v>0</v>
      </c>
    </row>
    <row r="291" spans="1:22">
      <c r="A291" s="101" t="s">
        <v>812</v>
      </c>
      <c r="B291" s="59" t="s">
        <v>814</v>
      </c>
      <c r="C291" s="1"/>
      <c r="D291" s="1"/>
      <c r="E291" s="1"/>
      <c r="F291" s="1"/>
      <c r="G291" s="1"/>
      <c r="H291" s="1"/>
      <c r="I291" s="1"/>
      <c r="J291" s="1"/>
      <c r="M291" s="67">
        <f t="shared" si="312"/>
        <v>0</v>
      </c>
      <c r="N291" s="67">
        <f t="shared" si="313"/>
        <v>0</v>
      </c>
      <c r="O291" s="67">
        <f t="shared" ref="O291:O297" si="320">(I291+J291)-(G291+H291)</f>
        <v>0</v>
      </c>
      <c r="P291" s="67">
        <f t="shared" ref="P291:P297" si="321">(C292+D292)-(I291+J291)</f>
        <v>0</v>
      </c>
      <c r="S291" s="62">
        <f t="shared" si="316"/>
        <v>0</v>
      </c>
      <c r="T291" s="62">
        <f t="shared" si="317"/>
        <v>0</v>
      </c>
      <c r="U291" s="62">
        <f t="shared" si="318"/>
        <v>0</v>
      </c>
      <c r="V291" s="62">
        <f t="shared" si="319"/>
        <v>0</v>
      </c>
    </row>
    <row r="292" spans="1:22">
      <c r="A292" s="101" t="s">
        <v>812</v>
      </c>
      <c r="B292" s="59" t="s">
        <v>814</v>
      </c>
      <c r="C292" s="1"/>
      <c r="D292" s="1"/>
      <c r="E292" s="1"/>
      <c r="F292" s="1"/>
      <c r="G292" s="1"/>
      <c r="H292" s="1"/>
      <c r="I292" s="1"/>
      <c r="J292" s="1"/>
      <c r="M292" s="67">
        <f t="shared" si="312"/>
        <v>0</v>
      </c>
      <c r="N292" s="67">
        <f t="shared" si="313"/>
        <v>0</v>
      </c>
      <c r="O292" s="67">
        <f t="shared" si="320"/>
        <v>0</v>
      </c>
      <c r="P292" s="67">
        <f t="shared" si="321"/>
        <v>0</v>
      </c>
      <c r="S292" s="62">
        <f t="shared" si="316"/>
        <v>0</v>
      </c>
      <c r="T292" s="62">
        <f t="shared" si="317"/>
        <v>0</v>
      </c>
      <c r="U292" s="62">
        <f t="shared" si="318"/>
        <v>0</v>
      </c>
      <c r="V292" s="62">
        <f t="shared" si="319"/>
        <v>0</v>
      </c>
    </row>
    <row r="293" spans="1:22">
      <c r="A293" s="101" t="s">
        <v>812</v>
      </c>
      <c r="B293" s="59" t="s">
        <v>814</v>
      </c>
      <c r="C293" s="1"/>
      <c r="D293" s="1"/>
      <c r="E293" s="1"/>
      <c r="F293" s="1"/>
      <c r="G293" s="1"/>
      <c r="H293" s="1"/>
      <c r="I293" s="1"/>
      <c r="J293" s="1"/>
      <c r="M293" s="67">
        <f t="shared" si="312"/>
        <v>0</v>
      </c>
      <c r="N293" s="67">
        <f t="shared" si="313"/>
        <v>0</v>
      </c>
      <c r="O293" s="67">
        <f t="shared" si="320"/>
        <v>0</v>
      </c>
      <c r="P293" s="67">
        <f t="shared" si="321"/>
        <v>0</v>
      </c>
      <c r="S293" s="62">
        <f t="shared" si="316"/>
        <v>0</v>
      </c>
      <c r="T293" s="62">
        <f t="shared" si="317"/>
        <v>0</v>
      </c>
      <c r="U293" s="62">
        <f t="shared" si="318"/>
        <v>0</v>
      </c>
      <c r="V293" s="62">
        <f t="shared" si="319"/>
        <v>0</v>
      </c>
    </row>
    <row r="294" spans="1:22">
      <c r="A294" s="101" t="s">
        <v>812</v>
      </c>
      <c r="B294" s="59" t="s">
        <v>814</v>
      </c>
      <c r="C294" s="1"/>
      <c r="D294" s="1"/>
      <c r="E294" s="1"/>
      <c r="F294" s="1"/>
      <c r="G294" s="1"/>
      <c r="H294" s="1"/>
      <c r="I294" s="1"/>
      <c r="J294" s="1"/>
      <c r="M294" s="67">
        <f t="shared" si="312"/>
        <v>0</v>
      </c>
      <c r="N294" s="67">
        <f t="shared" si="313"/>
        <v>0</v>
      </c>
      <c r="O294" s="67">
        <f t="shared" si="320"/>
        <v>0</v>
      </c>
      <c r="P294" s="67">
        <f t="shared" si="321"/>
        <v>0</v>
      </c>
      <c r="S294" s="62">
        <f t="shared" si="316"/>
        <v>0</v>
      </c>
      <c r="T294" s="62">
        <f t="shared" si="317"/>
        <v>0</v>
      </c>
      <c r="U294" s="62">
        <f t="shared" si="318"/>
        <v>0</v>
      </c>
      <c r="V294" s="62">
        <f t="shared" si="319"/>
        <v>0</v>
      </c>
    </row>
    <row r="295" spans="1:22">
      <c r="A295" s="101" t="s">
        <v>812</v>
      </c>
      <c r="B295" s="59" t="s">
        <v>814</v>
      </c>
      <c r="C295" s="1"/>
      <c r="D295" s="1"/>
      <c r="E295" s="1"/>
      <c r="F295" s="1"/>
      <c r="G295" s="1"/>
      <c r="H295" s="1"/>
      <c r="I295" s="1"/>
      <c r="J295" s="1"/>
      <c r="M295" s="67">
        <f t="shared" si="312"/>
        <v>0</v>
      </c>
      <c r="N295" s="67">
        <f t="shared" si="313"/>
        <v>0</v>
      </c>
      <c r="O295" s="67">
        <f t="shared" si="320"/>
        <v>0</v>
      </c>
      <c r="P295" s="67">
        <f t="shared" si="321"/>
        <v>0</v>
      </c>
      <c r="S295" s="62">
        <f t="shared" si="316"/>
        <v>0</v>
      </c>
      <c r="T295" s="62">
        <f t="shared" si="317"/>
        <v>0</v>
      </c>
      <c r="U295" s="62">
        <f t="shared" si="318"/>
        <v>0</v>
      </c>
      <c r="V295" s="62">
        <f t="shared" si="319"/>
        <v>0</v>
      </c>
    </row>
    <row r="296" spans="1:22">
      <c r="A296" s="101" t="s">
        <v>812</v>
      </c>
      <c r="B296" s="59" t="s">
        <v>814</v>
      </c>
      <c r="C296" s="1"/>
      <c r="D296" s="1"/>
      <c r="E296" s="1"/>
      <c r="F296" s="1"/>
      <c r="G296" s="1"/>
      <c r="H296" s="1"/>
      <c r="I296" s="1"/>
      <c r="J296" s="1"/>
      <c r="M296" s="67">
        <f t="shared" si="312"/>
        <v>0</v>
      </c>
      <c r="N296" s="67">
        <f t="shared" si="313"/>
        <v>0</v>
      </c>
      <c r="O296" s="67">
        <f t="shared" si="320"/>
        <v>0</v>
      </c>
      <c r="P296" s="67">
        <f t="shared" si="321"/>
        <v>0</v>
      </c>
      <c r="S296" s="62">
        <f t="shared" si="316"/>
        <v>0</v>
      </c>
      <c r="T296" s="62">
        <f t="shared" si="317"/>
        <v>0</v>
      </c>
      <c r="U296" s="62">
        <f t="shared" si="318"/>
        <v>0</v>
      </c>
      <c r="V296" s="62">
        <f t="shared" si="319"/>
        <v>0</v>
      </c>
    </row>
    <row r="297" spans="1:22">
      <c r="A297" s="101" t="s">
        <v>812</v>
      </c>
      <c r="B297" s="59" t="s">
        <v>814</v>
      </c>
      <c r="C297" s="1"/>
      <c r="D297" s="1"/>
      <c r="E297" s="1"/>
      <c r="F297" s="1"/>
      <c r="G297" s="1"/>
      <c r="H297" s="1"/>
      <c r="I297" s="1"/>
      <c r="J297" s="1"/>
      <c r="M297" s="67">
        <f t="shared" si="312"/>
        <v>0</v>
      </c>
      <c r="N297" s="67">
        <f t="shared" si="313"/>
        <v>0</v>
      </c>
      <c r="O297" s="67">
        <f t="shared" si="320"/>
        <v>0</v>
      </c>
      <c r="P297" s="67">
        <f t="shared" si="321"/>
        <v>0</v>
      </c>
      <c r="S297" s="62">
        <f t="shared" si="316"/>
        <v>0</v>
      </c>
      <c r="T297" s="62">
        <f t="shared" si="317"/>
        <v>0</v>
      </c>
      <c r="U297" s="62">
        <f t="shared" si="318"/>
        <v>0</v>
      </c>
      <c r="V297" s="62">
        <f t="shared" si="319"/>
        <v>0</v>
      </c>
    </row>
  </sheetData>
  <mergeCells count="19">
    <mergeCell ref="A1:A2"/>
    <mergeCell ref="B1:B2"/>
    <mergeCell ref="T1:T2"/>
    <mergeCell ref="U1:U2"/>
    <mergeCell ref="V1:V2"/>
    <mergeCell ref="M1:M2"/>
    <mergeCell ref="N1:N2"/>
    <mergeCell ref="O1:O2"/>
    <mergeCell ref="P1:P2"/>
    <mergeCell ref="S1:S2"/>
    <mergeCell ref="AC1:AC2"/>
    <mergeCell ref="C1:D1"/>
    <mergeCell ref="E1:F1"/>
    <mergeCell ref="G1:H1"/>
    <mergeCell ref="I1:J1"/>
    <mergeCell ref="Y1:Y2"/>
    <mergeCell ref="Z1:Z2"/>
    <mergeCell ref="AA1:AA2"/>
    <mergeCell ref="AB1:AB2"/>
  </mergeCells>
  <phoneticPr fontId="5" type="noConversion"/>
  <conditionalFormatting sqref="P3:P31 P33:P297">
    <cfRule type="cellIs" dxfId="1" priority="1" operator="greaterThan">
      <formula>$AE$68</formula>
    </cfRule>
  </conditionalFormatting>
  <conditionalFormatting sqref="P298:P1048576">
    <cfRule type="cellIs" dxfId="0" priority="5" operator="greaterThan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5CA8-D0EB-4C70-AF3C-647F67672A72}">
  <dimension ref="C8:AC10"/>
  <sheetViews>
    <sheetView showGridLines="0" zoomScaleNormal="100" workbookViewId="0">
      <selection activeCell="D9" sqref="D9"/>
    </sheetView>
  </sheetViews>
  <sheetFormatPr defaultRowHeight="15"/>
  <cols>
    <col min="3" max="3" width="21.140625" bestFit="1" customWidth="1"/>
    <col min="4" max="11" width="9.85546875" bestFit="1" customWidth="1"/>
    <col min="13" max="13" width="10" bestFit="1" customWidth="1"/>
  </cols>
  <sheetData>
    <row r="8" spans="3:29" ht="60" customHeight="1">
      <c r="D8" s="31" t="s">
        <v>23</v>
      </c>
      <c r="E8" s="31" t="s">
        <v>24</v>
      </c>
      <c r="F8" s="31" t="s">
        <v>25</v>
      </c>
      <c r="G8" s="31" t="s">
        <v>26</v>
      </c>
      <c r="H8" s="31" t="s">
        <v>27</v>
      </c>
      <c r="I8" s="31" t="s">
        <v>28</v>
      </c>
      <c r="J8" s="31" t="s">
        <v>29</v>
      </c>
      <c r="K8" s="31" t="s">
        <v>31</v>
      </c>
      <c r="L8" s="31" t="s">
        <v>32</v>
      </c>
      <c r="M8" s="31" t="s">
        <v>33</v>
      </c>
      <c r="N8" s="31" t="s">
        <v>34</v>
      </c>
      <c r="O8" s="31" t="s">
        <v>35</v>
      </c>
      <c r="P8" s="31" t="s">
        <v>36</v>
      </c>
      <c r="Q8" s="31" t="s">
        <v>37</v>
      </c>
      <c r="R8" s="31" t="s">
        <v>38</v>
      </c>
      <c r="S8" s="31" t="s">
        <v>39</v>
      </c>
      <c r="T8" s="31" t="s">
        <v>40</v>
      </c>
      <c r="U8" s="31" t="s">
        <v>41</v>
      </c>
      <c r="V8" s="31" t="s">
        <v>42</v>
      </c>
      <c r="W8" s="31" t="s">
        <v>43</v>
      </c>
      <c r="X8" s="31" t="s">
        <v>44</v>
      </c>
      <c r="Y8" s="31" t="s">
        <v>87</v>
      </c>
      <c r="Z8" s="31" t="s">
        <v>94</v>
      </c>
      <c r="AA8" s="31" t="s">
        <v>96</v>
      </c>
      <c r="AB8" s="31" t="s">
        <v>97</v>
      </c>
      <c r="AC8" s="31" t="s">
        <v>98</v>
      </c>
    </row>
    <row r="9" spans="3:29" ht="74.25" customHeight="1">
      <c r="C9" s="1" t="s">
        <v>68</v>
      </c>
      <c r="D9" s="25">
        <f>SUM('Dep Cycle Time Monitoring'!H4:H13)</f>
        <v>15415</v>
      </c>
      <c r="E9" s="25">
        <f>SUM('Dep Cycle Time Monitoring'!H15:H21)</f>
        <v>9873</v>
      </c>
      <c r="F9" s="25">
        <f>SUM('Dep Cycle Time Monitoring'!H22:H28)</f>
        <v>10883</v>
      </c>
      <c r="G9" s="25">
        <f>SUM('Dep Cycle Time Monitoring'!H29:H38)</f>
        <v>13258</v>
      </c>
      <c r="H9" s="25">
        <f>SUM('Dep Cycle Time Monitoring'!H39:H39)</f>
        <v>0</v>
      </c>
      <c r="I9" s="26" t="e">
        <f>SUM('Dep Cycle Time Monitoring'!#REF!)</f>
        <v>#REF!</v>
      </c>
      <c r="J9" s="25" t="e">
        <f>SUM('Dep Cycle Time Monitoring'!#REF!)</f>
        <v>#REF!</v>
      </c>
      <c r="K9" s="25" t="e">
        <f>SUM('Dep Cycle Time Monitoring'!#REF!)</f>
        <v>#REF!</v>
      </c>
      <c r="L9" s="24"/>
      <c r="M9" s="26" t="e">
        <f>SUM('Dep Cycle Time Monitoring'!#REF!)</f>
        <v>#REF!</v>
      </c>
      <c r="N9" s="25" t="e">
        <f>SUM('Dep Cycle Time Monitoring'!#REF!)</f>
        <v>#REF!</v>
      </c>
      <c r="O9" s="25" t="e">
        <f>SUM('Dep Cycle Time Monitoring'!#REF!)</f>
        <v>#REF!</v>
      </c>
      <c r="P9" s="25" t="e">
        <f>SUM('Dep Cycle Time Monitoring'!#REF!)</f>
        <v>#REF!</v>
      </c>
      <c r="Q9" s="25" t="e">
        <f>SUM('Dep Cycle Time Monitoring'!#REF!)</f>
        <v>#REF!</v>
      </c>
      <c r="R9" s="26" t="e">
        <f>SUM('Dep Cycle Time Monitoring'!#REF!)</f>
        <v>#REF!</v>
      </c>
      <c r="S9" s="25" t="e">
        <f>SUM('Dep Cycle Time Monitoring'!#REF!)</f>
        <v>#REF!</v>
      </c>
      <c r="T9" s="26" t="e">
        <f>SUM('Dep Cycle Time Monitoring'!#REF!)</f>
        <v>#REF!</v>
      </c>
      <c r="U9" s="25" t="e">
        <f>SUM('Dep Cycle Time Monitoring'!#REF!)</f>
        <v>#REF!</v>
      </c>
      <c r="V9" s="26" t="e">
        <f>SUM('Dep Cycle Time Monitoring'!#REF!)</f>
        <v>#REF!</v>
      </c>
      <c r="W9" s="25" t="e">
        <f>SUM('Dep Cycle Time Monitoring'!#REF!)</f>
        <v>#REF!</v>
      </c>
      <c r="X9" s="25" t="e">
        <f>SUM('Dep Cycle Time Monitoring'!#REF!)</f>
        <v>#REF!</v>
      </c>
      <c r="Y9" s="26" t="e">
        <f>SUM('Dep Cycle Time Monitoring'!#REF!)</f>
        <v>#REF!</v>
      </c>
      <c r="Z9" s="24"/>
      <c r="AA9" s="24"/>
      <c r="AB9" s="24"/>
      <c r="AC9" s="24"/>
    </row>
    <row r="10" spans="3:29">
      <c r="C10" s="1" t="s">
        <v>51</v>
      </c>
      <c r="D10" s="1">
        <v>15000</v>
      </c>
      <c r="E10" s="1">
        <v>15000</v>
      </c>
      <c r="F10" s="1">
        <v>15000</v>
      </c>
      <c r="G10" s="1">
        <v>15000</v>
      </c>
      <c r="H10" s="1">
        <v>15000</v>
      </c>
      <c r="I10" s="1">
        <v>15000</v>
      </c>
      <c r="J10" s="1">
        <v>15000</v>
      </c>
      <c r="K10" s="1">
        <v>15000</v>
      </c>
      <c r="L10" s="1">
        <v>15000</v>
      </c>
      <c r="M10" s="1">
        <v>15000</v>
      </c>
      <c r="N10" s="1">
        <v>15000</v>
      </c>
      <c r="O10" s="1">
        <v>15000</v>
      </c>
      <c r="P10" s="1">
        <v>15000</v>
      </c>
      <c r="Q10" s="1">
        <v>15000</v>
      </c>
      <c r="R10" s="1">
        <v>15000</v>
      </c>
      <c r="S10" s="1">
        <v>15000</v>
      </c>
      <c r="T10" s="1">
        <v>15000</v>
      </c>
      <c r="U10" s="1">
        <v>15000</v>
      </c>
      <c r="V10" s="1">
        <v>15000</v>
      </c>
      <c r="W10" s="1">
        <v>15000</v>
      </c>
      <c r="X10" s="1">
        <v>15000</v>
      </c>
      <c r="Y10" s="1">
        <v>15000</v>
      </c>
      <c r="Z10" s="1">
        <v>15000</v>
      </c>
      <c r="AA10" s="1">
        <v>15000</v>
      </c>
      <c r="AB10" s="1">
        <v>15000</v>
      </c>
      <c r="AC10" s="1">
        <v>15000</v>
      </c>
    </row>
  </sheetData>
  <phoneticPr fontId="5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D704-8AAD-45F5-8638-87ECA45EA338}">
  <dimension ref="B2:V56"/>
  <sheetViews>
    <sheetView showGridLines="0" zoomScaleNormal="100" workbookViewId="0">
      <selection activeCell="C3" sqref="C3:C8"/>
    </sheetView>
  </sheetViews>
  <sheetFormatPr defaultColWidth="8.7109375" defaultRowHeight="15"/>
  <cols>
    <col min="1" max="1" width="5.42578125" customWidth="1"/>
    <col min="2" max="2" width="13.85546875" bestFit="1" customWidth="1"/>
    <col min="3" max="3" width="17.28515625" customWidth="1"/>
    <col min="4" max="4" width="4.28515625" customWidth="1"/>
    <col min="5" max="5" width="3.5703125" customWidth="1"/>
    <col min="8" max="8" width="62.7109375" customWidth="1"/>
  </cols>
  <sheetData>
    <row r="2" spans="2:22">
      <c r="B2" s="200" t="s">
        <v>18</v>
      </c>
      <c r="C2" s="200"/>
    </row>
    <row r="3" spans="2:22">
      <c r="B3" s="2" t="s">
        <v>13</v>
      </c>
      <c r="C3" s="12">
        <v>4000</v>
      </c>
    </row>
    <row r="4" spans="2:22">
      <c r="B4" s="2" t="s">
        <v>14</v>
      </c>
      <c r="C4" s="12">
        <v>3000</v>
      </c>
    </row>
    <row r="5" spans="2:22">
      <c r="B5" s="2" t="s">
        <v>15</v>
      </c>
      <c r="C5" s="12">
        <v>1000</v>
      </c>
    </row>
    <row r="6" spans="2:22">
      <c r="B6" s="2" t="s">
        <v>16</v>
      </c>
      <c r="C6" s="12"/>
    </row>
    <row r="7" spans="2:22">
      <c r="B7" s="2" t="s">
        <v>17</v>
      </c>
      <c r="C7" s="12">
        <v>13</v>
      </c>
    </row>
    <row r="8" spans="2:22">
      <c r="B8" s="2" t="s">
        <v>19</v>
      </c>
      <c r="C8" s="12">
        <v>3</v>
      </c>
    </row>
    <row r="9" spans="2:22">
      <c r="H9" s="3"/>
    </row>
    <row r="10" spans="2:22">
      <c r="H10" s="3"/>
    </row>
    <row r="11" spans="2:22">
      <c r="H11" s="3"/>
    </row>
    <row r="12" spans="2:22">
      <c r="H12" s="3"/>
    </row>
    <row r="13" spans="2:22" ht="15.75" thickBot="1"/>
    <row r="14" spans="2:22">
      <c r="F14" s="215" t="s">
        <v>10</v>
      </c>
      <c r="G14" s="216"/>
      <c r="H14" s="13" t="s">
        <v>11</v>
      </c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 spans="2:22">
      <c r="F15" s="213"/>
      <c r="G15" s="214"/>
      <c r="H15" s="1"/>
      <c r="J15" s="7"/>
      <c r="V15" s="8"/>
    </row>
    <row r="16" spans="2:22">
      <c r="F16" s="213"/>
      <c r="G16" s="214"/>
      <c r="H16" s="1"/>
      <c r="J16" s="7"/>
      <c r="V16" s="8"/>
    </row>
    <row r="17" spans="6:22">
      <c r="F17" s="213"/>
      <c r="G17" s="214"/>
      <c r="H17" s="1"/>
      <c r="J17" s="7"/>
      <c r="V17" s="8"/>
    </row>
    <row r="18" spans="6:22">
      <c r="F18" s="213"/>
      <c r="G18" s="214"/>
      <c r="H18" s="1"/>
      <c r="J18" s="7"/>
      <c r="V18" s="8"/>
    </row>
    <row r="19" spans="6:22">
      <c r="F19" s="213"/>
      <c r="G19" s="214"/>
      <c r="H19" s="1"/>
      <c r="J19" s="7"/>
      <c r="V19" s="8"/>
    </row>
    <row r="20" spans="6:22">
      <c r="F20" s="213"/>
      <c r="G20" s="214"/>
      <c r="H20" s="1"/>
      <c r="J20" s="7"/>
      <c r="V20" s="8"/>
    </row>
    <row r="21" spans="6:22">
      <c r="F21" s="213"/>
      <c r="G21" s="214"/>
      <c r="H21" s="1"/>
      <c r="J21" s="7"/>
      <c r="V21" s="8"/>
    </row>
    <row r="22" spans="6:22">
      <c r="F22" s="213"/>
      <c r="G22" s="214"/>
      <c r="H22" s="1"/>
      <c r="J22" s="7"/>
      <c r="V22" s="8"/>
    </row>
    <row r="23" spans="6:22">
      <c r="F23" s="213"/>
      <c r="G23" s="214"/>
      <c r="H23" s="1"/>
      <c r="J23" s="7"/>
      <c r="V23" s="8"/>
    </row>
    <row r="24" spans="6:22">
      <c r="F24" s="213"/>
      <c r="G24" s="214"/>
      <c r="H24" s="1"/>
      <c r="J24" s="7"/>
      <c r="N24" s="14" t="s">
        <v>12</v>
      </c>
      <c r="V24" s="8"/>
    </row>
    <row r="25" spans="6:22">
      <c r="F25" s="213"/>
      <c r="G25" s="214"/>
      <c r="H25" s="1"/>
      <c r="J25" s="7"/>
      <c r="V25" s="8"/>
    </row>
    <row r="26" spans="6:22">
      <c r="F26" s="213"/>
      <c r="G26" s="214"/>
      <c r="H26" s="1"/>
      <c r="J26" s="7"/>
      <c r="V26" s="8"/>
    </row>
    <row r="27" spans="6:22">
      <c r="F27" s="213"/>
      <c r="G27" s="214"/>
      <c r="H27" s="1"/>
      <c r="J27" s="7"/>
      <c r="V27" s="8"/>
    </row>
    <row r="28" spans="6:22">
      <c r="F28" s="213"/>
      <c r="G28" s="214"/>
      <c r="H28" s="1"/>
      <c r="J28" s="7"/>
      <c r="V28" s="8"/>
    </row>
    <row r="29" spans="6:22">
      <c r="F29" s="213"/>
      <c r="G29" s="214"/>
      <c r="H29" s="1"/>
      <c r="J29" s="7"/>
      <c r="V29" s="8"/>
    </row>
    <row r="30" spans="6:22">
      <c r="F30" s="213"/>
      <c r="G30" s="214"/>
      <c r="H30" s="1"/>
      <c r="J30" s="7"/>
      <c r="V30" s="8"/>
    </row>
    <row r="31" spans="6:22">
      <c r="F31" s="213"/>
      <c r="G31" s="214"/>
      <c r="H31" s="1"/>
      <c r="J31" s="7"/>
      <c r="V31" s="8"/>
    </row>
    <row r="32" spans="6:22">
      <c r="F32" s="213"/>
      <c r="G32" s="214"/>
      <c r="H32" s="1"/>
      <c r="J32" s="7"/>
      <c r="V32" s="8"/>
    </row>
    <row r="33" spans="6:22">
      <c r="F33" s="213"/>
      <c r="G33" s="214"/>
      <c r="H33" s="1"/>
      <c r="J33" s="7"/>
      <c r="V33" s="8"/>
    </row>
    <row r="34" spans="6:22" ht="15.75" thickBot="1">
      <c r="F34" s="213"/>
      <c r="G34" s="214"/>
      <c r="H34" s="1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6:22" ht="15.75" thickBot="1"/>
    <row r="36" spans="6:22"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r="37" spans="6:22">
      <c r="J37" s="7"/>
      <c r="V37" s="8"/>
    </row>
    <row r="38" spans="6:22">
      <c r="J38" s="7"/>
      <c r="V38" s="8"/>
    </row>
    <row r="39" spans="6:22">
      <c r="J39" s="7"/>
      <c r="V39" s="8"/>
    </row>
    <row r="40" spans="6:22">
      <c r="J40" s="7"/>
      <c r="V40" s="8"/>
    </row>
    <row r="41" spans="6:22">
      <c r="J41" s="7"/>
      <c r="V41" s="8"/>
    </row>
    <row r="42" spans="6:22">
      <c r="J42" s="7"/>
      <c r="V42" s="8"/>
    </row>
    <row r="43" spans="6:22">
      <c r="J43" s="7"/>
      <c r="V43" s="8"/>
    </row>
    <row r="44" spans="6:22">
      <c r="J44" s="7"/>
      <c r="V44" s="8"/>
    </row>
    <row r="45" spans="6:22">
      <c r="J45" s="7"/>
      <c r="V45" s="8"/>
    </row>
    <row r="46" spans="6:22">
      <c r="J46" s="7"/>
      <c r="N46" s="14" t="s">
        <v>12</v>
      </c>
      <c r="V46" s="8"/>
    </row>
    <row r="47" spans="6:22">
      <c r="J47" s="7"/>
      <c r="V47" s="8"/>
    </row>
    <row r="48" spans="6:22">
      <c r="J48" s="7"/>
      <c r="V48" s="8"/>
    </row>
    <row r="49" spans="10:22">
      <c r="J49" s="7"/>
      <c r="V49" s="8"/>
    </row>
    <row r="50" spans="10:22">
      <c r="J50" s="7"/>
      <c r="V50" s="8"/>
    </row>
    <row r="51" spans="10:22">
      <c r="J51" s="7"/>
      <c r="V51" s="8"/>
    </row>
    <row r="52" spans="10:22">
      <c r="J52" s="7"/>
      <c r="V52" s="8"/>
    </row>
    <row r="53" spans="10:22">
      <c r="J53" s="7"/>
      <c r="V53" s="8"/>
    </row>
    <row r="54" spans="10:22">
      <c r="J54" s="7"/>
      <c r="V54" s="8"/>
    </row>
    <row r="55" spans="10:22">
      <c r="J55" s="7"/>
      <c r="V55" s="8"/>
    </row>
    <row r="56" spans="10:22" ht="15.75" thickBot="1"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</sheetData>
  <mergeCells count="22">
    <mergeCell ref="F32:G32"/>
    <mergeCell ref="F33:G33"/>
    <mergeCell ref="F34:G34"/>
    <mergeCell ref="B2:C2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9:G19"/>
    <mergeCell ref="F15:G15"/>
    <mergeCell ref="F14:G14"/>
    <mergeCell ref="F16:G16"/>
    <mergeCell ref="F17:G17"/>
    <mergeCell ref="F18:G18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768D-B26F-4AE4-8BD0-A6737D92DD63}">
  <dimension ref="A1"/>
  <sheetViews>
    <sheetView topLeftCell="A6" zoomScale="115" zoomScaleNormal="115" workbookViewId="0">
      <selection activeCell="T37" sqref="T37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2BED-1974-4FE8-9538-CF1F6601F637}">
  <dimension ref="B1:O18"/>
  <sheetViews>
    <sheetView zoomScale="175" zoomScaleNormal="175" workbookViewId="0">
      <selection activeCell="W3" sqref="W3"/>
    </sheetView>
  </sheetViews>
  <sheetFormatPr defaultRowHeight="15"/>
  <cols>
    <col min="2" max="2" width="22.28515625" bestFit="1" customWidth="1"/>
    <col min="3" max="3" width="10.28515625" bestFit="1" customWidth="1"/>
    <col min="4" max="4" width="12.85546875" bestFit="1" customWidth="1"/>
    <col min="5" max="5" width="9" customWidth="1"/>
    <col min="6" max="11" width="9" hidden="1" customWidth="1"/>
    <col min="12" max="12" width="9" customWidth="1"/>
    <col min="13" max="13" width="10.28515625" bestFit="1" customWidth="1"/>
    <col min="14" max="14" width="7.7109375" bestFit="1" customWidth="1"/>
    <col min="15" max="15" width="26.42578125" bestFit="1" customWidth="1"/>
  </cols>
  <sheetData>
    <row r="1" spans="2:15" ht="15.75">
      <c r="B1" s="223" t="s">
        <v>49</v>
      </c>
      <c r="C1" s="223" t="s">
        <v>50</v>
      </c>
      <c r="D1" s="223" t="s">
        <v>51</v>
      </c>
      <c r="E1" s="230" t="s">
        <v>52</v>
      </c>
      <c r="F1" s="231"/>
      <c r="G1" s="231"/>
      <c r="H1" s="231"/>
      <c r="I1" s="231"/>
      <c r="J1" s="231"/>
      <c r="K1" s="231"/>
      <c r="L1" s="232"/>
      <c r="M1" s="223" t="s">
        <v>54</v>
      </c>
      <c r="N1" s="223" t="s">
        <v>53</v>
      </c>
    </row>
    <row r="2" spans="2:15" ht="15.75" customHeight="1">
      <c r="B2" s="224"/>
      <c r="C2" s="224"/>
      <c r="D2" s="224"/>
      <c r="E2" s="28" t="s">
        <v>34</v>
      </c>
      <c r="F2" s="28" t="s">
        <v>35</v>
      </c>
      <c r="G2" s="28" t="s">
        <v>36</v>
      </c>
      <c r="H2" s="28" t="s">
        <v>37</v>
      </c>
      <c r="I2" s="28" t="s">
        <v>38</v>
      </c>
      <c r="J2" s="28" t="s">
        <v>39</v>
      </c>
      <c r="K2" s="28" t="s">
        <v>40</v>
      </c>
      <c r="L2" s="28" t="s">
        <v>41</v>
      </c>
      <c r="M2" s="224"/>
      <c r="N2" s="224"/>
    </row>
    <row r="3" spans="2:15" ht="33" customHeight="1">
      <c r="B3" s="233" t="s">
        <v>55</v>
      </c>
      <c r="C3" s="225" t="s">
        <v>56</v>
      </c>
      <c r="D3" s="225" t="s">
        <v>57</v>
      </c>
      <c r="E3" s="225" t="s">
        <v>58</v>
      </c>
      <c r="F3" s="225"/>
      <c r="G3" s="225"/>
      <c r="H3" s="225"/>
      <c r="I3" s="225"/>
      <c r="J3" s="225"/>
      <c r="K3" s="225"/>
      <c r="L3" s="225"/>
      <c r="M3" s="225"/>
      <c r="N3" s="225"/>
      <c r="O3" s="217"/>
    </row>
    <row r="4" spans="2:15">
      <c r="B4" s="233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18"/>
    </row>
    <row r="5" spans="2:15">
      <c r="B5" s="233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19"/>
    </row>
    <row r="6" spans="2:15" ht="17.25" customHeight="1">
      <c r="B6" s="233" t="s">
        <v>59</v>
      </c>
      <c r="C6" s="225" t="s">
        <v>60</v>
      </c>
      <c r="D6" s="226">
        <v>0.97</v>
      </c>
      <c r="E6" s="226">
        <v>0.98</v>
      </c>
      <c r="F6" s="226"/>
      <c r="G6" s="226"/>
      <c r="H6" s="226"/>
      <c r="I6" s="226"/>
      <c r="J6" s="226"/>
      <c r="K6" s="226"/>
      <c r="L6" s="226"/>
      <c r="M6" s="226"/>
      <c r="N6" s="225"/>
      <c r="O6" s="217"/>
    </row>
    <row r="7" spans="2:15">
      <c r="B7" s="233"/>
      <c r="C7" s="225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5"/>
      <c r="O7" s="218"/>
    </row>
    <row r="8" spans="2:15">
      <c r="B8" s="233"/>
      <c r="C8" s="225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5"/>
      <c r="O8" s="219"/>
    </row>
    <row r="9" spans="2:15" ht="48.75" customHeight="1">
      <c r="B9" s="233" t="s">
        <v>61</v>
      </c>
      <c r="C9" s="225" t="s">
        <v>60</v>
      </c>
      <c r="D9" s="225" t="s">
        <v>62</v>
      </c>
      <c r="E9" s="225" t="s">
        <v>63</v>
      </c>
      <c r="F9" s="225"/>
      <c r="G9" s="225"/>
      <c r="H9" s="225"/>
      <c r="I9" s="225"/>
      <c r="J9" s="225"/>
      <c r="K9" s="225"/>
      <c r="L9" s="225"/>
      <c r="M9" s="225"/>
      <c r="N9" s="225"/>
      <c r="O9" s="220" t="s">
        <v>72</v>
      </c>
    </row>
    <row r="10" spans="2:15">
      <c r="B10" s="233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1"/>
    </row>
    <row r="11" spans="2:15">
      <c r="B11" s="233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2"/>
    </row>
    <row r="12" spans="2:15" ht="33" customHeight="1">
      <c r="B12" s="233" t="s">
        <v>73</v>
      </c>
      <c r="C12" s="225" t="s">
        <v>74</v>
      </c>
      <c r="D12" s="225" t="s">
        <v>75</v>
      </c>
      <c r="E12" s="225">
        <v>210</v>
      </c>
      <c r="F12" s="227"/>
      <c r="G12" s="227"/>
      <c r="H12" s="227"/>
      <c r="I12" s="227"/>
      <c r="J12" s="227"/>
      <c r="K12" s="227"/>
      <c r="L12" s="227"/>
      <c r="M12" s="227"/>
      <c r="N12" s="225"/>
      <c r="O12" s="217"/>
    </row>
    <row r="13" spans="2:15">
      <c r="B13" s="233"/>
      <c r="C13" s="225"/>
      <c r="D13" s="225"/>
      <c r="E13" s="225"/>
      <c r="F13" s="228"/>
      <c r="G13" s="228"/>
      <c r="H13" s="228"/>
      <c r="I13" s="228"/>
      <c r="J13" s="228"/>
      <c r="K13" s="228"/>
      <c r="L13" s="228"/>
      <c r="M13" s="228"/>
      <c r="N13" s="225"/>
      <c r="O13" s="218"/>
    </row>
    <row r="14" spans="2:15">
      <c r="B14" s="233"/>
      <c r="C14" s="225"/>
      <c r="D14" s="225"/>
      <c r="E14" s="225"/>
      <c r="F14" s="229"/>
      <c r="G14" s="229"/>
      <c r="H14" s="229"/>
      <c r="I14" s="229"/>
      <c r="J14" s="229"/>
      <c r="K14" s="229"/>
      <c r="L14" s="229"/>
      <c r="M14" s="229"/>
      <c r="N14" s="225"/>
      <c r="O14" s="219"/>
    </row>
    <row r="15" spans="2:15">
      <c r="B15" s="233" t="s">
        <v>64</v>
      </c>
      <c r="C15" s="225" t="s">
        <v>76</v>
      </c>
      <c r="D15" s="225">
        <v>600</v>
      </c>
      <c r="E15" s="225">
        <v>620</v>
      </c>
      <c r="F15" s="227"/>
      <c r="G15" s="227"/>
      <c r="H15" s="227"/>
      <c r="I15" s="227"/>
      <c r="J15" s="227"/>
      <c r="K15" s="227"/>
      <c r="L15" s="227"/>
      <c r="M15" s="227"/>
      <c r="N15" s="225"/>
      <c r="O15" s="217" t="s">
        <v>71</v>
      </c>
    </row>
    <row r="16" spans="2:15">
      <c r="B16" s="233"/>
      <c r="C16" s="225"/>
      <c r="D16" s="225"/>
      <c r="E16" s="225"/>
      <c r="F16" s="228"/>
      <c r="G16" s="228"/>
      <c r="H16" s="228"/>
      <c r="I16" s="228"/>
      <c r="J16" s="228"/>
      <c r="K16" s="228"/>
      <c r="L16" s="228"/>
      <c r="M16" s="228"/>
      <c r="N16" s="225"/>
      <c r="O16" s="218"/>
    </row>
    <row r="17" spans="2:15">
      <c r="B17" s="233"/>
      <c r="C17" s="225"/>
      <c r="D17" s="225"/>
      <c r="E17" s="225"/>
      <c r="F17" s="229"/>
      <c r="G17" s="229"/>
      <c r="H17" s="229"/>
      <c r="I17" s="229"/>
      <c r="J17" s="229"/>
      <c r="K17" s="229"/>
      <c r="L17" s="229"/>
      <c r="M17" s="229"/>
      <c r="N17" s="225"/>
      <c r="O17" s="219"/>
    </row>
    <row r="18" spans="2:15" ht="30">
      <c r="B18" s="29" t="s">
        <v>65</v>
      </c>
      <c r="C18" s="30" t="s">
        <v>66</v>
      </c>
      <c r="D18" s="30" t="s">
        <v>69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1" t="s">
        <v>70</v>
      </c>
    </row>
  </sheetData>
  <mergeCells count="76">
    <mergeCell ref="M15:M17"/>
    <mergeCell ref="N3:N5"/>
    <mergeCell ref="B9:B11"/>
    <mergeCell ref="C9:C11"/>
    <mergeCell ref="D9:D11"/>
    <mergeCell ref="E9:E11"/>
    <mergeCell ref="B6:B8"/>
    <mergeCell ref="C6:C8"/>
    <mergeCell ref="D6:D8"/>
    <mergeCell ref="E6:E8"/>
    <mergeCell ref="N6:N8"/>
    <mergeCell ref="N9:N11"/>
    <mergeCell ref="G9:G11"/>
    <mergeCell ref="H9:H11"/>
    <mergeCell ref="I9:I11"/>
    <mergeCell ref="B3:B5"/>
    <mergeCell ref="B12:B14"/>
    <mergeCell ref="C12:C14"/>
    <mergeCell ref="D12:D14"/>
    <mergeCell ref="E12:E14"/>
    <mergeCell ref="B15:B17"/>
    <mergeCell ref="C15:C17"/>
    <mergeCell ref="D15:D17"/>
    <mergeCell ref="E15:E17"/>
    <mergeCell ref="N15:N17"/>
    <mergeCell ref="E1:L1"/>
    <mergeCell ref="D1:D2"/>
    <mergeCell ref="C1:C2"/>
    <mergeCell ref="J3:J5"/>
    <mergeCell ref="K3:K5"/>
    <mergeCell ref="L3:L5"/>
    <mergeCell ref="F6:F8"/>
    <mergeCell ref="G6:G8"/>
    <mergeCell ref="H6:H8"/>
    <mergeCell ref="I6:I8"/>
    <mergeCell ref="J6:J8"/>
    <mergeCell ref="K6:K8"/>
    <mergeCell ref="L6:L8"/>
    <mergeCell ref="F9:F11"/>
    <mergeCell ref="L15:L17"/>
    <mergeCell ref="B1:B2"/>
    <mergeCell ref="F3:F5"/>
    <mergeCell ref="G3:G5"/>
    <mergeCell ref="H3:H5"/>
    <mergeCell ref="I3:I5"/>
    <mergeCell ref="C3:C5"/>
    <mergeCell ref="D3:D5"/>
    <mergeCell ref="E3:E5"/>
    <mergeCell ref="J9:J11"/>
    <mergeCell ref="K9:K11"/>
    <mergeCell ref="L9:L11"/>
    <mergeCell ref="F12:F14"/>
    <mergeCell ref="F15:F17"/>
    <mergeCell ref="G12:G14"/>
    <mergeCell ref="G15:G17"/>
    <mergeCell ref="H12:H14"/>
    <mergeCell ref="H15:H17"/>
    <mergeCell ref="I12:I14"/>
    <mergeCell ref="I15:I17"/>
    <mergeCell ref="J12:J14"/>
    <mergeCell ref="J15:J17"/>
    <mergeCell ref="K12:K14"/>
    <mergeCell ref="L12:L14"/>
    <mergeCell ref="K15:K17"/>
    <mergeCell ref="N1:N2"/>
    <mergeCell ref="M3:M5"/>
    <mergeCell ref="M9:M11"/>
    <mergeCell ref="M6:M8"/>
    <mergeCell ref="M12:M14"/>
    <mergeCell ref="M1:M2"/>
    <mergeCell ref="N12:N14"/>
    <mergeCell ref="O3:O5"/>
    <mergeCell ref="O6:O8"/>
    <mergeCell ref="O9:O11"/>
    <mergeCell ref="O12:O14"/>
    <mergeCell ref="O15:O17"/>
  </mergeCells>
  <phoneticPr fontId="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9F66-F290-4EAF-B797-EC4B9725F85F}">
  <dimension ref="A1:F14"/>
  <sheetViews>
    <sheetView workbookViewId="0">
      <selection activeCell="D8" sqref="D8"/>
    </sheetView>
  </sheetViews>
  <sheetFormatPr defaultRowHeight="15"/>
  <cols>
    <col min="1" max="1" width="13" bestFit="1" customWidth="1"/>
    <col min="2" max="2" width="27.85546875" bestFit="1" customWidth="1"/>
    <col min="3" max="3" width="17.5703125" bestFit="1" customWidth="1"/>
    <col min="4" max="4" width="24.85546875" bestFit="1" customWidth="1"/>
    <col min="5" max="5" width="25.28515625" bestFit="1" customWidth="1"/>
    <col min="6" max="6" width="9.28515625" bestFit="1" customWidth="1"/>
  </cols>
  <sheetData>
    <row r="1" spans="1:6">
      <c r="A1" s="57" t="s">
        <v>125</v>
      </c>
    </row>
    <row r="3" spans="1:6">
      <c r="A3" t="s">
        <v>123</v>
      </c>
      <c r="B3" t="s">
        <v>124</v>
      </c>
      <c r="C3" t="s">
        <v>45</v>
      </c>
      <c r="D3" t="s">
        <v>46</v>
      </c>
      <c r="E3" t="s">
        <v>47</v>
      </c>
      <c r="F3" t="s">
        <v>20</v>
      </c>
    </row>
    <row r="4" spans="1:6">
      <c r="A4" t="s">
        <v>111</v>
      </c>
      <c r="B4" t="s">
        <v>122</v>
      </c>
      <c r="C4">
        <v>0</v>
      </c>
      <c r="D4">
        <v>3</v>
      </c>
      <c r="E4">
        <v>0</v>
      </c>
      <c r="F4" t="s">
        <v>104</v>
      </c>
    </row>
    <row r="5" spans="1:6">
      <c r="A5" t="s">
        <v>111</v>
      </c>
      <c r="B5" t="s">
        <v>121</v>
      </c>
      <c r="C5">
        <v>0</v>
      </c>
      <c r="D5">
        <v>2</v>
      </c>
      <c r="E5">
        <v>0</v>
      </c>
      <c r="F5" t="s">
        <v>104</v>
      </c>
    </row>
    <row r="6" spans="1:6">
      <c r="A6" t="s">
        <v>111</v>
      </c>
      <c r="B6" t="s">
        <v>120</v>
      </c>
      <c r="C6">
        <v>0</v>
      </c>
      <c r="D6">
        <v>1</v>
      </c>
      <c r="E6">
        <v>0</v>
      </c>
      <c r="F6" t="s">
        <v>104</v>
      </c>
    </row>
    <row r="7" spans="1:6">
      <c r="A7" t="s">
        <v>111</v>
      </c>
      <c r="B7" t="s">
        <v>119</v>
      </c>
      <c r="C7">
        <v>0</v>
      </c>
      <c r="D7">
        <v>0</v>
      </c>
      <c r="E7">
        <v>0</v>
      </c>
      <c r="F7" t="s">
        <v>93</v>
      </c>
    </row>
    <row r="8" spans="1:6">
      <c r="A8" t="s">
        <v>111</v>
      </c>
      <c r="B8" t="s">
        <v>118</v>
      </c>
      <c r="C8">
        <v>0</v>
      </c>
      <c r="D8">
        <v>3</v>
      </c>
      <c r="E8">
        <v>0</v>
      </c>
      <c r="F8" t="s">
        <v>93</v>
      </c>
    </row>
    <row r="9" spans="1:6">
      <c r="A9" t="s">
        <v>111</v>
      </c>
      <c r="B9" t="s">
        <v>117</v>
      </c>
      <c r="C9">
        <v>0</v>
      </c>
      <c r="D9">
        <v>0</v>
      </c>
      <c r="E9">
        <v>0</v>
      </c>
      <c r="F9" t="s">
        <v>93</v>
      </c>
    </row>
    <row r="10" spans="1:6">
      <c r="A10" t="s">
        <v>111</v>
      </c>
      <c r="B10" t="s">
        <v>116</v>
      </c>
      <c r="C10">
        <v>0</v>
      </c>
      <c r="D10">
        <v>0</v>
      </c>
      <c r="E10">
        <v>0</v>
      </c>
      <c r="F10" t="s">
        <v>93</v>
      </c>
    </row>
    <row r="11" spans="1:6">
      <c r="A11" t="s">
        <v>111</v>
      </c>
      <c r="B11" t="s">
        <v>115</v>
      </c>
      <c r="C11">
        <v>1</v>
      </c>
      <c r="D11">
        <v>1</v>
      </c>
      <c r="E11">
        <v>0</v>
      </c>
      <c r="F11" t="s">
        <v>93</v>
      </c>
    </row>
    <row r="12" spans="1:6">
      <c r="A12" t="s">
        <v>111</v>
      </c>
      <c r="B12" t="s">
        <v>114</v>
      </c>
      <c r="C12">
        <v>0</v>
      </c>
      <c r="D12">
        <v>0</v>
      </c>
      <c r="E12">
        <v>0</v>
      </c>
      <c r="F12" t="s">
        <v>93</v>
      </c>
    </row>
    <row r="13" spans="1:6">
      <c r="A13" t="s">
        <v>111</v>
      </c>
      <c r="B13" t="s">
        <v>113</v>
      </c>
      <c r="C13">
        <v>3</v>
      </c>
      <c r="D13">
        <v>0</v>
      </c>
      <c r="E13">
        <v>0</v>
      </c>
      <c r="F13" t="s">
        <v>93</v>
      </c>
    </row>
    <row r="14" spans="1:6">
      <c r="A14" t="s">
        <v>111</v>
      </c>
      <c r="B14" t="s">
        <v>112</v>
      </c>
      <c r="C14">
        <v>0</v>
      </c>
      <c r="D14">
        <v>0</v>
      </c>
      <c r="E14">
        <v>0</v>
      </c>
      <c r="F14" t="s">
        <v>108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197D-8D28-44AC-9E1C-2ED36DD7434F}">
  <dimension ref="A1:AX471"/>
  <sheetViews>
    <sheetView topLeftCell="A107" zoomScaleNormal="100" workbookViewId="0">
      <selection activeCell="M145" sqref="M145"/>
    </sheetView>
  </sheetViews>
  <sheetFormatPr defaultRowHeight="15"/>
  <cols>
    <col min="1" max="1" width="11.42578125" style="22" bestFit="1" customWidth="1"/>
    <col min="2" max="2" width="71.85546875" style="23" customWidth="1"/>
    <col min="3" max="3" width="12.7109375" style="22" customWidth="1"/>
    <col min="4" max="4" width="14.140625" style="22" bestFit="1" customWidth="1"/>
    <col min="5" max="5" width="14.7109375" style="22" customWidth="1"/>
    <col min="6" max="6" width="10.85546875" style="22" customWidth="1"/>
    <col min="8" max="11" width="0" hidden="1" customWidth="1"/>
    <col min="13" max="14" width="7" style="16" bestFit="1" customWidth="1"/>
    <col min="15" max="15" width="29.28515625" style="16" bestFit="1" customWidth="1"/>
    <col min="16" max="16" width="17.85546875" style="16" bestFit="1" customWidth="1"/>
    <col min="17" max="27" width="7" style="16" bestFit="1" customWidth="1"/>
    <col min="28" max="28" width="7" style="16" customWidth="1"/>
    <col min="29" max="34" width="7" style="16" bestFit="1" customWidth="1"/>
    <col min="35" max="35" width="11.28515625" style="16" bestFit="1" customWidth="1"/>
    <col min="36" max="40" width="7" style="16" bestFit="1" customWidth="1"/>
    <col min="41" max="41" width="6" style="16" bestFit="1" customWidth="1"/>
    <col min="42" max="48" width="7" style="16" bestFit="1" customWidth="1"/>
    <col min="49" max="49" width="7.28515625" style="16" hidden="1" customWidth="1"/>
    <col min="50" max="50" width="7" style="16" bestFit="1" customWidth="1"/>
    <col min="51" max="53" width="7" bestFit="1" customWidth="1"/>
    <col min="54" max="54" width="11.28515625" bestFit="1" customWidth="1"/>
  </cols>
  <sheetData>
    <row r="1" spans="1:50" ht="30">
      <c r="A1" s="35" t="s">
        <v>0</v>
      </c>
      <c r="B1" s="53" t="s">
        <v>1</v>
      </c>
      <c r="C1" s="53" t="s">
        <v>45</v>
      </c>
      <c r="D1" s="53" t="s">
        <v>46</v>
      </c>
      <c r="E1" s="53" t="s">
        <v>47</v>
      </c>
      <c r="F1" s="35" t="s">
        <v>20</v>
      </c>
    </row>
    <row r="2" spans="1:50">
      <c r="A2" s="60" t="s">
        <v>126</v>
      </c>
      <c r="B2" s="17" t="s">
        <v>128</v>
      </c>
      <c r="C2" s="12">
        <v>0</v>
      </c>
      <c r="D2" s="12">
        <v>1</v>
      </c>
      <c r="E2" s="12">
        <v>0</v>
      </c>
      <c r="F2" s="12" t="s">
        <v>104</v>
      </c>
    </row>
    <row r="3" spans="1:50">
      <c r="A3" s="60" t="s">
        <v>126</v>
      </c>
      <c r="B3" s="17" t="s">
        <v>131</v>
      </c>
      <c r="C3" s="12">
        <v>0</v>
      </c>
      <c r="D3" s="12">
        <v>0</v>
      </c>
      <c r="E3" s="12">
        <v>0</v>
      </c>
      <c r="F3" s="69" t="s">
        <v>129</v>
      </c>
    </row>
    <row r="4" spans="1:50">
      <c r="A4" s="60" t="s">
        <v>126</v>
      </c>
      <c r="B4" s="17" t="s">
        <v>131</v>
      </c>
      <c r="C4" s="12">
        <v>0</v>
      </c>
      <c r="D4" s="12">
        <v>0</v>
      </c>
      <c r="E4" s="12">
        <v>0</v>
      </c>
      <c r="F4" s="12" t="s">
        <v>129</v>
      </c>
    </row>
    <row r="5" spans="1:50">
      <c r="A5" s="60" t="s">
        <v>126</v>
      </c>
      <c r="B5" s="17" t="s">
        <v>134</v>
      </c>
      <c r="C5" s="12">
        <v>0</v>
      </c>
      <c r="D5" s="12">
        <v>0</v>
      </c>
      <c r="E5" s="12">
        <v>0</v>
      </c>
      <c r="F5" s="12" t="s">
        <v>129</v>
      </c>
    </row>
    <row r="6" spans="1:50">
      <c r="A6" s="60" t="s">
        <v>126</v>
      </c>
      <c r="B6" s="17" t="s">
        <v>137</v>
      </c>
      <c r="C6" s="12">
        <v>0</v>
      </c>
      <c r="D6" s="12">
        <v>0</v>
      </c>
      <c r="E6" s="12">
        <v>0</v>
      </c>
      <c r="F6" s="12" t="s">
        <v>129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>
      <c r="A7" s="60" t="s">
        <v>126</v>
      </c>
      <c r="B7" s="12" t="s">
        <v>145</v>
      </c>
      <c r="C7" s="12">
        <v>0</v>
      </c>
      <c r="D7" s="12">
        <v>0</v>
      </c>
      <c r="E7" s="12">
        <v>0</v>
      </c>
      <c r="F7" s="12" t="s">
        <v>129</v>
      </c>
      <c r="M7"/>
      <c r="N7"/>
      <c r="O7" s="150" t="s">
        <v>46</v>
      </c>
      <c r="P7" s="1" t="s">
        <v>333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>
      <c r="A8" s="60" t="s">
        <v>126</v>
      </c>
      <c r="B8" s="12" t="s">
        <v>144</v>
      </c>
      <c r="C8" s="12">
        <v>0</v>
      </c>
      <c r="D8" s="12">
        <v>0</v>
      </c>
      <c r="E8" s="12">
        <v>0</v>
      </c>
      <c r="F8" s="12" t="s">
        <v>129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>
      <c r="A9" s="60" t="s">
        <v>126</v>
      </c>
      <c r="B9" s="12" t="s">
        <v>148</v>
      </c>
      <c r="C9" s="12">
        <v>0</v>
      </c>
      <c r="D9" s="12">
        <v>0</v>
      </c>
      <c r="E9" s="12">
        <v>0</v>
      </c>
      <c r="F9" s="12" t="s">
        <v>129</v>
      </c>
      <c r="O9" s="131"/>
      <c r="P9" s="151" t="s">
        <v>105</v>
      </c>
      <c r="Q9" s="129"/>
      <c r="R9" s="128"/>
      <c r="S9" s="128"/>
      <c r="T9" s="128"/>
      <c r="U9" s="128"/>
      <c r="V9" s="128"/>
      <c r="W9" s="128"/>
      <c r="X9" s="128"/>
      <c r="Y9" s="128"/>
      <c r="Z9" s="130"/>
      <c r="AA9" s="128"/>
      <c r="AB9" s="128"/>
      <c r="AC9" s="128"/>
      <c r="AD9" s="128"/>
      <c r="AE9" s="128"/>
      <c r="AF9" s="128"/>
      <c r="AG9" s="128"/>
      <c r="AH9" s="128"/>
      <c r="AI9" s="130"/>
    </row>
    <row r="10" spans="1:50">
      <c r="A10" s="60" t="s">
        <v>126</v>
      </c>
      <c r="B10" s="17" t="s">
        <v>150</v>
      </c>
      <c r="C10" s="12">
        <v>0</v>
      </c>
      <c r="D10" s="12">
        <v>2</v>
      </c>
      <c r="E10" s="12">
        <v>0</v>
      </c>
      <c r="F10" s="12" t="s">
        <v>129</v>
      </c>
      <c r="O10" s="1"/>
      <c r="P10" s="1" t="s">
        <v>126</v>
      </c>
      <c r="Q10" s="1" t="s">
        <v>155</v>
      </c>
      <c r="R10" s="1" t="s">
        <v>175</v>
      </c>
      <c r="S10" s="1" t="s">
        <v>198</v>
      </c>
      <c r="T10" s="1" t="s">
        <v>219</v>
      </c>
      <c r="U10" s="1" t="s">
        <v>230</v>
      </c>
      <c r="V10" s="1" t="s">
        <v>254</v>
      </c>
      <c r="W10" s="1" t="s">
        <v>270</v>
      </c>
      <c r="X10" s="1" t="s">
        <v>23</v>
      </c>
      <c r="Y10" s="1" t="s">
        <v>24</v>
      </c>
      <c r="Z10" s="1" t="s">
        <v>25</v>
      </c>
      <c r="AA10" s="1" t="s">
        <v>26</v>
      </c>
      <c r="AB10" s="1" t="s">
        <v>27</v>
      </c>
      <c r="AC10" s="1" t="s">
        <v>28</v>
      </c>
      <c r="AD10" s="1" t="s">
        <v>29</v>
      </c>
      <c r="AE10" s="1" t="s">
        <v>31</v>
      </c>
      <c r="AF10" s="1" t="s">
        <v>32</v>
      </c>
      <c r="AG10" s="1" t="s">
        <v>33</v>
      </c>
      <c r="AH10" s="1" t="s">
        <v>34</v>
      </c>
      <c r="AI10" s="152" t="s">
        <v>106</v>
      </c>
    </row>
    <row r="11" spans="1:50" ht="15.75" thickBot="1">
      <c r="A11" s="75" t="s">
        <v>126</v>
      </c>
      <c r="B11" s="76" t="s">
        <v>153</v>
      </c>
      <c r="C11" s="77">
        <v>0</v>
      </c>
      <c r="D11" s="77">
        <v>0</v>
      </c>
      <c r="E11" s="77">
        <v>0</v>
      </c>
      <c r="F11" s="77" t="s">
        <v>129</v>
      </c>
      <c r="O11" s="1" t="s">
        <v>109</v>
      </c>
      <c r="P11" s="20">
        <v>3</v>
      </c>
      <c r="Q11" s="20">
        <v>5</v>
      </c>
      <c r="R11" s="153">
        <v>9</v>
      </c>
      <c r="S11" s="20">
        <v>0</v>
      </c>
      <c r="T11" s="20">
        <v>2</v>
      </c>
      <c r="U11" s="20">
        <v>4</v>
      </c>
      <c r="V11" s="153">
        <v>9</v>
      </c>
      <c r="W11" s="20">
        <v>4</v>
      </c>
      <c r="X11" s="20">
        <v>2</v>
      </c>
      <c r="Y11" s="20">
        <v>0</v>
      </c>
      <c r="Z11" s="20">
        <v>0</v>
      </c>
      <c r="AA11" s="153">
        <v>6</v>
      </c>
      <c r="AB11" s="20">
        <v>4</v>
      </c>
      <c r="AC11" s="20">
        <v>0</v>
      </c>
      <c r="AD11" s="153">
        <v>5</v>
      </c>
      <c r="AE11" s="20">
        <v>2</v>
      </c>
      <c r="AF11" s="20">
        <v>0</v>
      </c>
      <c r="AG11" s="20">
        <v>0</v>
      </c>
      <c r="AH11" s="20">
        <v>0</v>
      </c>
      <c r="AI11" s="154">
        <v>55</v>
      </c>
    </row>
    <row r="12" spans="1:50">
      <c r="A12" s="79" t="s">
        <v>155</v>
      </c>
      <c r="B12" s="72" t="s">
        <v>157</v>
      </c>
      <c r="C12" s="19">
        <v>0</v>
      </c>
      <c r="D12" s="19">
        <v>1</v>
      </c>
      <c r="E12" s="19">
        <v>0</v>
      </c>
      <c r="F12" s="19" t="s">
        <v>129</v>
      </c>
      <c r="O12"/>
      <c r="P12"/>
      <c r="Q12"/>
    </row>
    <row r="13" spans="1:50">
      <c r="A13" s="79" t="s">
        <v>155</v>
      </c>
      <c r="B13" s="17" t="s">
        <v>160</v>
      </c>
      <c r="C13" s="12">
        <v>0</v>
      </c>
      <c r="D13" s="12">
        <v>2</v>
      </c>
      <c r="E13" s="12">
        <v>1</v>
      </c>
      <c r="F13" s="19" t="s">
        <v>129</v>
      </c>
      <c r="O13"/>
      <c r="P13"/>
      <c r="Q13"/>
    </row>
    <row r="14" spans="1:50">
      <c r="A14" s="79" t="s">
        <v>155</v>
      </c>
      <c r="B14" s="17" t="s">
        <v>163</v>
      </c>
      <c r="C14" s="12">
        <v>0</v>
      </c>
      <c r="D14" s="12">
        <v>0</v>
      </c>
      <c r="E14" s="12">
        <v>0</v>
      </c>
      <c r="F14" s="19" t="s">
        <v>129</v>
      </c>
      <c r="M14"/>
      <c r="N14"/>
      <c r="O14"/>
      <c r="P14"/>
      <c r="Q14"/>
      <c r="R14"/>
    </row>
    <row r="15" spans="1:50">
      <c r="A15" s="79" t="s">
        <v>155</v>
      </c>
      <c r="B15" s="17" t="s">
        <v>161</v>
      </c>
      <c r="C15" s="12">
        <v>0</v>
      </c>
      <c r="D15" s="12">
        <v>0</v>
      </c>
      <c r="E15" s="12">
        <v>0</v>
      </c>
      <c r="F15" s="19" t="s">
        <v>129</v>
      </c>
      <c r="M15"/>
      <c r="N15"/>
      <c r="O15"/>
      <c r="P15"/>
      <c r="Q15"/>
      <c r="R15"/>
    </row>
    <row r="16" spans="1:50">
      <c r="A16" s="79" t="s">
        <v>155</v>
      </c>
      <c r="B16" s="17" t="s">
        <v>165</v>
      </c>
      <c r="C16" s="12">
        <v>0</v>
      </c>
      <c r="D16" s="12">
        <v>0</v>
      </c>
      <c r="E16" s="12">
        <v>0</v>
      </c>
      <c r="F16" s="19" t="s">
        <v>129</v>
      </c>
      <c r="M16"/>
      <c r="N16"/>
      <c r="O16" s="120" t="s">
        <v>47</v>
      </c>
      <c r="P16" t="s">
        <v>333</v>
      </c>
      <c r="Q16"/>
      <c r="R16"/>
      <c r="S16"/>
      <c r="T16"/>
      <c r="U16"/>
      <c r="V16"/>
      <c r="W16"/>
      <c r="X16"/>
    </row>
    <row r="17" spans="1:50">
      <c r="A17" s="79" t="s">
        <v>155</v>
      </c>
      <c r="B17" s="17" t="s">
        <v>168</v>
      </c>
      <c r="C17" s="12">
        <v>0</v>
      </c>
      <c r="D17" s="12">
        <v>1</v>
      </c>
      <c r="E17" s="12">
        <v>0</v>
      </c>
      <c r="F17" s="84" t="s">
        <v>104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>
      <c r="A18" s="79" t="s">
        <v>155</v>
      </c>
      <c r="B18" s="17" t="s">
        <v>172</v>
      </c>
      <c r="C18" s="12">
        <v>0</v>
      </c>
      <c r="D18" s="12">
        <v>0</v>
      </c>
      <c r="E18" s="12">
        <v>0</v>
      </c>
      <c r="F18" s="12" t="s">
        <v>104</v>
      </c>
      <c r="M18"/>
      <c r="N18"/>
      <c r="O18" s="1"/>
      <c r="P18" s="151" t="s">
        <v>105</v>
      </c>
      <c r="Q18" s="129"/>
      <c r="R18" s="128"/>
      <c r="S18" s="128"/>
      <c r="T18" s="128"/>
      <c r="U18" s="128"/>
      <c r="V18" s="128"/>
      <c r="W18" s="128"/>
      <c r="X18" s="128"/>
      <c r="Y18" s="128"/>
      <c r="Z18" s="130"/>
      <c r="AA18" s="128"/>
      <c r="AB18" s="128"/>
      <c r="AC18" s="128"/>
      <c r="AD18" s="128"/>
      <c r="AE18" s="128"/>
      <c r="AF18" s="128"/>
      <c r="AG18" s="128"/>
      <c r="AH18" s="128"/>
      <c r="AI18" s="130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>
      <c r="A19" s="79" t="s">
        <v>155</v>
      </c>
      <c r="B19" s="17" t="s">
        <v>177</v>
      </c>
      <c r="C19" s="12">
        <v>0</v>
      </c>
      <c r="D19" s="12">
        <v>1</v>
      </c>
      <c r="E19" s="12">
        <v>0</v>
      </c>
      <c r="F19" s="12" t="s">
        <v>104</v>
      </c>
      <c r="M19"/>
      <c r="N19"/>
      <c r="O19" s="1"/>
      <c r="P19" s="1" t="s">
        <v>126</v>
      </c>
      <c r="Q19" s="1" t="s">
        <v>155</v>
      </c>
      <c r="R19" s="1" t="s">
        <v>175</v>
      </c>
      <c r="S19" s="1" t="s">
        <v>198</v>
      </c>
      <c r="T19" s="1" t="s">
        <v>219</v>
      </c>
      <c r="U19" s="1" t="s">
        <v>230</v>
      </c>
      <c r="V19" s="1" t="s">
        <v>254</v>
      </c>
      <c r="W19" s="1" t="s">
        <v>270</v>
      </c>
      <c r="X19" s="1" t="s">
        <v>23</v>
      </c>
      <c r="Y19" s="1" t="s">
        <v>24</v>
      </c>
      <c r="Z19" s="1" t="s">
        <v>25</v>
      </c>
      <c r="AA19" s="1" t="s">
        <v>26</v>
      </c>
      <c r="AB19" s="1" t="s">
        <v>27</v>
      </c>
      <c r="AC19" s="1" t="s">
        <v>28</v>
      </c>
      <c r="AD19" s="1" t="s">
        <v>29</v>
      </c>
      <c r="AE19" s="1" t="s">
        <v>31</v>
      </c>
      <c r="AF19" s="1" t="s">
        <v>32</v>
      </c>
      <c r="AG19" s="1" t="s">
        <v>33</v>
      </c>
      <c r="AH19" s="1" t="s">
        <v>34</v>
      </c>
      <c r="AI19" s="152" t="s">
        <v>106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ht="15.75" thickBot="1">
      <c r="A20" s="75" t="s">
        <v>155</v>
      </c>
      <c r="B20" s="86" t="s">
        <v>178</v>
      </c>
      <c r="C20" s="89">
        <v>0</v>
      </c>
      <c r="D20" s="89">
        <v>0</v>
      </c>
      <c r="E20" s="89">
        <v>0</v>
      </c>
      <c r="F20" s="89" t="s">
        <v>104</v>
      </c>
      <c r="O20" s="1" t="s">
        <v>110</v>
      </c>
      <c r="P20" s="20">
        <v>0</v>
      </c>
      <c r="Q20" s="20">
        <v>1</v>
      </c>
      <c r="R20" s="20">
        <v>1</v>
      </c>
      <c r="S20" s="20">
        <v>0</v>
      </c>
      <c r="T20" s="20">
        <v>0</v>
      </c>
      <c r="U20" s="20">
        <v>1</v>
      </c>
      <c r="V20" s="20">
        <v>0</v>
      </c>
      <c r="W20" s="20">
        <v>1</v>
      </c>
      <c r="X20" s="20">
        <v>1</v>
      </c>
      <c r="Y20" s="20">
        <v>1</v>
      </c>
      <c r="Z20" s="20">
        <v>0</v>
      </c>
      <c r="AA20" s="20">
        <v>0</v>
      </c>
      <c r="AB20" s="20">
        <v>0</v>
      </c>
      <c r="AC20" s="20">
        <v>0</v>
      </c>
      <c r="AD20" s="20">
        <v>1</v>
      </c>
      <c r="AE20" s="20">
        <v>0</v>
      </c>
      <c r="AF20" s="20">
        <v>0</v>
      </c>
      <c r="AG20" s="20">
        <v>0</v>
      </c>
      <c r="AH20" s="20">
        <v>0</v>
      </c>
      <c r="AI20" s="154">
        <v>7</v>
      </c>
    </row>
    <row r="21" spans="1:50">
      <c r="A21" s="79" t="s">
        <v>175</v>
      </c>
      <c r="B21" s="72" t="s">
        <v>181</v>
      </c>
      <c r="C21" s="19">
        <v>0</v>
      </c>
      <c r="D21" s="114">
        <v>0</v>
      </c>
      <c r="E21" s="19">
        <v>0</v>
      </c>
      <c r="F21" s="19" t="s">
        <v>104</v>
      </c>
      <c r="O21"/>
      <c r="P21"/>
      <c r="Q21"/>
    </row>
    <row r="22" spans="1:50">
      <c r="A22" s="79" t="s">
        <v>175</v>
      </c>
      <c r="B22" s="17" t="s">
        <v>182</v>
      </c>
      <c r="C22" s="12">
        <v>0</v>
      </c>
      <c r="D22" s="115">
        <v>1</v>
      </c>
      <c r="E22" s="12">
        <v>0</v>
      </c>
      <c r="F22" s="12" t="s">
        <v>104</v>
      </c>
      <c r="O22"/>
      <c r="P22"/>
      <c r="Q22"/>
    </row>
    <row r="23" spans="1:50">
      <c r="A23" s="79" t="s">
        <v>175</v>
      </c>
      <c r="B23" s="17" t="s">
        <v>183</v>
      </c>
      <c r="C23" s="12">
        <v>0</v>
      </c>
      <c r="D23" s="115">
        <v>0</v>
      </c>
      <c r="E23" s="12">
        <v>1</v>
      </c>
      <c r="F23" s="12" t="s">
        <v>104</v>
      </c>
      <c r="M23"/>
      <c r="N23"/>
      <c r="O23"/>
      <c r="P23"/>
      <c r="Q23"/>
      <c r="R23"/>
    </row>
    <row r="24" spans="1:50">
      <c r="A24" s="79" t="s">
        <v>175</v>
      </c>
      <c r="B24" s="17" t="s">
        <v>187</v>
      </c>
      <c r="C24" s="12">
        <v>0</v>
      </c>
      <c r="D24" s="115">
        <v>1</v>
      </c>
      <c r="E24" s="12">
        <v>0</v>
      </c>
      <c r="F24" s="12" t="s">
        <v>104</v>
      </c>
      <c r="M24"/>
      <c r="N24"/>
      <c r="O24" s="156" t="s">
        <v>45</v>
      </c>
      <c r="P24" s="16" t="s">
        <v>333</v>
      </c>
      <c r="Q24"/>
      <c r="R24"/>
      <c r="S24"/>
      <c r="T24"/>
      <c r="U24"/>
      <c r="V24"/>
      <c r="W24"/>
      <c r="X24"/>
    </row>
    <row r="25" spans="1:50">
      <c r="A25" s="79" t="s">
        <v>175</v>
      </c>
      <c r="B25" s="17" t="s">
        <v>190</v>
      </c>
      <c r="C25" s="12">
        <v>0</v>
      </c>
      <c r="D25" s="115">
        <v>5</v>
      </c>
      <c r="E25" s="12">
        <v>0</v>
      </c>
      <c r="F25" s="12" t="s">
        <v>104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>
      <c r="A26" s="79" t="s">
        <v>175</v>
      </c>
      <c r="B26" s="17" t="s">
        <v>193</v>
      </c>
      <c r="C26" s="12">
        <v>0</v>
      </c>
      <c r="D26" s="115">
        <v>1</v>
      </c>
      <c r="E26" s="12">
        <v>0</v>
      </c>
      <c r="F26" s="12" t="s">
        <v>104</v>
      </c>
      <c r="M26"/>
      <c r="N26"/>
      <c r="O26" s="20"/>
      <c r="P26" s="155" t="s">
        <v>105</v>
      </c>
      <c r="Q26" s="129"/>
      <c r="R26" s="128"/>
      <c r="S26" s="128"/>
      <c r="T26" s="128"/>
      <c r="U26" s="128"/>
      <c r="V26" s="128"/>
      <c r="W26" s="128"/>
      <c r="X26" s="128"/>
      <c r="Y26" s="128"/>
      <c r="Z26" s="130"/>
      <c r="AA26" s="128"/>
      <c r="AB26" s="128"/>
      <c r="AC26" s="128"/>
      <c r="AD26" s="128"/>
      <c r="AE26" s="128"/>
      <c r="AF26" s="128"/>
      <c r="AG26" s="128"/>
      <c r="AH26" s="128"/>
      <c r="AI26" s="130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>
      <c r="A27" s="79" t="s">
        <v>175</v>
      </c>
      <c r="B27" s="17" t="s">
        <v>195</v>
      </c>
      <c r="C27" s="12">
        <v>0</v>
      </c>
      <c r="D27" s="115">
        <v>1</v>
      </c>
      <c r="E27" s="12">
        <v>0</v>
      </c>
      <c r="F27" s="12" t="s">
        <v>104</v>
      </c>
      <c r="M27"/>
      <c r="N27"/>
      <c r="O27" s="20"/>
      <c r="P27" s="20" t="s">
        <v>126</v>
      </c>
      <c r="Q27" s="20" t="s">
        <v>155</v>
      </c>
      <c r="R27" s="20" t="s">
        <v>175</v>
      </c>
      <c r="S27" s="20" t="s">
        <v>198</v>
      </c>
      <c r="T27" s="20" t="s">
        <v>219</v>
      </c>
      <c r="U27" s="20" t="s">
        <v>230</v>
      </c>
      <c r="V27" s="20" t="s">
        <v>254</v>
      </c>
      <c r="W27" s="20" t="s">
        <v>270</v>
      </c>
      <c r="X27" s="20" t="s">
        <v>23</v>
      </c>
      <c r="Y27" s="20" t="s">
        <v>24</v>
      </c>
      <c r="Z27" s="20" t="s">
        <v>25</v>
      </c>
      <c r="AA27" s="20" t="s">
        <v>26</v>
      </c>
      <c r="AB27" s="20" t="s">
        <v>27</v>
      </c>
      <c r="AC27" s="20" t="s">
        <v>28</v>
      </c>
      <c r="AD27" s="20" t="s">
        <v>29</v>
      </c>
      <c r="AE27" s="20" t="s">
        <v>31</v>
      </c>
      <c r="AF27" s="20" t="s">
        <v>32</v>
      </c>
      <c r="AG27" s="20" t="s">
        <v>33</v>
      </c>
      <c r="AH27" s="20" t="s">
        <v>34</v>
      </c>
      <c r="AI27" s="154" t="s">
        <v>106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ht="15.75" thickBot="1">
      <c r="A28" s="75" t="s">
        <v>175</v>
      </c>
      <c r="B28" s="76" t="s">
        <v>200</v>
      </c>
      <c r="C28" s="77">
        <v>0</v>
      </c>
      <c r="D28" s="116">
        <v>0</v>
      </c>
      <c r="E28" s="77">
        <v>0</v>
      </c>
      <c r="F28" s="77" t="s">
        <v>104</v>
      </c>
      <c r="O28" s="20" t="s">
        <v>107</v>
      </c>
      <c r="P28" s="20">
        <v>0</v>
      </c>
      <c r="Q28" s="20">
        <v>0</v>
      </c>
      <c r="R28" s="20">
        <v>0</v>
      </c>
      <c r="S28" s="20">
        <v>0</v>
      </c>
      <c r="T28" s="20">
        <v>2</v>
      </c>
      <c r="U28" s="20">
        <v>0</v>
      </c>
      <c r="V28" s="20">
        <v>0</v>
      </c>
      <c r="W28" s="20">
        <v>1</v>
      </c>
      <c r="X28" s="20">
        <v>0</v>
      </c>
      <c r="Y28" s="153">
        <v>4</v>
      </c>
      <c r="Z28" s="20">
        <v>3</v>
      </c>
      <c r="AA28" s="20">
        <v>0</v>
      </c>
      <c r="AB28" s="20">
        <v>0</v>
      </c>
      <c r="AC28" s="20">
        <v>0</v>
      </c>
      <c r="AD28" s="20">
        <v>2</v>
      </c>
      <c r="AE28" s="20">
        <v>0</v>
      </c>
      <c r="AF28" s="20">
        <v>0</v>
      </c>
      <c r="AG28" s="20">
        <v>0</v>
      </c>
      <c r="AH28" s="20">
        <v>0</v>
      </c>
      <c r="AI28" s="154">
        <v>12</v>
      </c>
    </row>
    <row r="29" spans="1:50">
      <c r="A29" s="60" t="s">
        <v>198</v>
      </c>
      <c r="B29" s="72" t="s">
        <v>202</v>
      </c>
      <c r="C29" s="19">
        <v>0</v>
      </c>
      <c r="D29" s="114">
        <v>0</v>
      </c>
      <c r="E29" s="19">
        <v>0</v>
      </c>
      <c r="F29" s="19" t="s">
        <v>104</v>
      </c>
    </row>
    <row r="30" spans="1:50">
      <c r="A30" s="60" t="s">
        <v>198</v>
      </c>
      <c r="B30" s="17" t="s">
        <v>203</v>
      </c>
      <c r="C30" s="12">
        <v>0</v>
      </c>
      <c r="D30" s="115">
        <v>0</v>
      </c>
      <c r="E30" s="12">
        <v>0</v>
      </c>
      <c r="F30" s="12" t="s">
        <v>104</v>
      </c>
    </row>
    <row r="31" spans="1:50">
      <c r="A31" s="13" t="s">
        <v>198</v>
      </c>
      <c r="B31" s="55" t="s">
        <v>244</v>
      </c>
      <c r="C31" s="49">
        <v>0</v>
      </c>
      <c r="D31" s="49">
        <v>0</v>
      </c>
      <c r="E31" s="49">
        <v>0</v>
      </c>
      <c r="F31" s="49" t="s">
        <v>104</v>
      </c>
    </row>
    <row r="32" spans="1:50">
      <c r="A32" s="60" t="s">
        <v>198</v>
      </c>
      <c r="B32" s="17" t="s">
        <v>207</v>
      </c>
      <c r="C32" s="12">
        <v>0</v>
      </c>
      <c r="D32" s="12">
        <v>0</v>
      </c>
      <c r="E32" s="12">
        <v>0</v>
      </c>
      <c r="F32" s="97" t="s">
        <v>93</v>
      </c>
      <c r="G32" s="16"/>
      <c r="H32" s="16"/>
      <c r="I32" s="16"/>
      <c r="J32" s="16"/>
      <c r="K32" s="16"/>
      <c r="L32" s="16"/>
      <c r="AS32"/>
      <c r="AT32"/>
      <c r="AU32"/>
      <c r="AV32"/>
      <c r="AW32"/>
      <c r="AX32"/>
    </row>
    <row r="33" spans="1:50">
      <c r="A33" s="60" t="s">
        <v>198</v>
      </c>
      <c r="B33" s="17" t="s">
        <v>208</v>
      </c>
      <c r="C33" s="12">
        <v>0</v>
      </c>
      <c r="D33" s="12">
        <v>0</v>
      </c>
      <c r="E33" s="12">
        <v>0</v>
      </c>
      <c r="F33" s="97" t="s">
        <v>93</v>
      </c>
      <c r="G33" s="16"/>
      <c r="H33" s="16"/>
      <c r="I33" s="16"/>
      <c r="J33" s="16"/>
      <c r="K33" s="16"/>
      <c r="L33" s="16"/>
      <c r="AS33"/>
      <c r="AT33"/>
      <c r="AU33"/>
      <c r="AV33"/>
      <c r="AW33"/>
      <c r="AX33"/>
    </row>
    <row r="34" spans="1:50">
      <c r="A34" s="60" t="s">
        <v>198</v>
      </c>
      <c r="B34" s="17" t="s">
        <v>210</v>
      </c>
      <c r="C34" s="12">
        <v>0</v>
      </c>
      <c r="D34" s="12">
        <v>0</v>
      </c>
      <c r="E34" s="12">
        <v>0</v>
      </c>
      <c r="F34" s="100" t="s">
        <v>129</v>
      </c>
      <c r="G34" s="16"/>
      <c r="H34" s="16"/>
      <c r="I34" s="16"/>
      <c r="J34" s="16"/>
      <c r="K34" s="16"/>
      <c r="L34" s="16"/>
      <c r="AS34"/>
      <c r="AT34"/>
      <c r="AU34"/>
      <c r="AV34"/>
      <c r="AW34"/>
      <c r="AX34"/>
    </row>
    <row r="35" spans="1:50">
      <c r="A35" s="60" t="s">
        <v>198</v>
      </c>
      <c r="B35" s="17" t="s">
        <v>211</v>
      </c>
      <c r="C35" s="12">
        <v>0</v>
      </c>
      <c r="D35" s="12">
        <v>0</v>
      </c>
      <c r="E35" s="12">
        <v>0</v>
      </c>
      <c r="F35" s="19" t="s">
        <v>129</v>
      </c>
      <c r="G35" s="16"/>
      <c r="H35" s="16"/>
      <c r="I35" s="16"/>
      <c r="J35" s="16"/>
      <c r="K35" s="16"/>
      <c r="L35" s="16"/>
      <c r="AS35"/>
      <c r="AT35"/>
      <c r="AU35"/>
      <c r="AV35"/>
      <c r="AW35"/>
      <c r="AX35"/>
    </row>
    <row r="36" spans="1:50" ht="15.75" thickBot="1">
      <c r="A36" s="75" t="s">
        <v>198</v>
      </c>
      <c r="B36" s="76" t="s">
        <v>214</v>
      </c>
      <c r="C36" s="77">
        <v>0</v>
      </c>
      <c r="D36" s="77">
        <v>0</v>
      </c>
      <c r="E36" s="77">
        <v>0</v>
      </c>
      <c r="F36" s="77" t="s">
        <v>129</v>
      </c>
      <c r="G36" s="16"/>
      <c r="H36" s="16"/>
      <c r="I36" s="16"/>
      <c r="J36" s="16"/>
      <c r="K36" s="16"/>
      <c r="L36" s="16"/>
      <c r="AS36"/>
      <c r="AT36"/>
      <c r="AU36"/>
      <c r="AV36"/>
      <c r="AW36"/>
      <c r="AX36"/>
    </row>
    <row r="37" spans="1:50">
      <c r="A37" s="79" t="s">
        <v>219</v>
      </c>
      <c r="B37" s="72" t="s">
        <v>216</v>
      </c>
      <c r="C37" s="19">
        <v>0</v>
      </c>
      <c r="D37" s="19">
        <v>2</v>
      </c>
      <c r="E37" s="19">
        <v>0</v>
      </c>
      <c r="F37" s="19" t="s">
        <v>129</v>
      </c>
      <c r="G37" s="16"/>
      <c r="H37" s="16"/>
      <c r="I37" s="16"/>
      <c r="J37" s="16"/>
      <c r="K37" s="16"/>
      <c r="L37" s="16"/>
      <c r="AS37"/>
      <c r="AT37"/>
      <c r="AU37"/>
      <c r="AV37"/>
      <c r="AW37"/>
      <c r="AX37"/>
    </row>
    <row r="38" spans="1:50">
      <c r="A38" s="79" t="s">
        <v>219</v>
      </c>
      <c r="B38" s="17" t="s">
        <v>221</v>
      </c>
      <c r="C38" s="12">
        <v>0</v>
      </c>
      <c r="D38" s="12">
        <v>0</v>
      </c>
      <c r="E38" s="12">
        <v>0</v>
      </c>
      <c r="F38" s="19" t="s">
        <v>129</v>
      </c>
      <c r="G38" s="16"/>
      <c r="H38" s="16"/>
      <c r="I38" s="16"/>
      <c r="J38" s="16"/>
      <c r="K38" s="16"/>
      <c r="L38" s="16"/>
      <c r="AS38"/>
      <c r="AT38"/>
      <c r="AU38"/>
      <c r="AV38"/>
      <c r="AW38"/>
      <c r="AX38"/>
    </row>
    <row r="39" spans="1:50">
      <c r="A39" s="79" t="s">
        <v>219</v>
      </c>
      <c r="B39" s="17" t="s">
        <v>223</v>
      </c>
      <c r="C39" s="12">
        <v>0</v>
      </c>
      <c r="D39" s="12">
        <v>0</v>
      </c>
      <c r="E39" s="12">
        <v>0</v>
      </c>
      <c r="F39" s="19" t="s">
        <v>129</v>
      </c>
      <c r="G39" s="16"/>
      <c r="H39" s="16"/>
      <c r="I39" s="16"/>
      <c r="J39" s="16"/>
      <c r="K39" s="16"/>
      <c r="L39" s="16"/>
      <c r="AS39"/>
      <c r="AT39"/>
      <c r="AU39"/>
      <c r="AV39"/>
      <c r="AW39"/>
      <c r="AX39"/>
    </row>
    <row r="40" spans="1:50">
      <c r="A40" s="79" t="s">
        <v>219</v>
      </c>
      <c r="B40" s="17" t="s">
        <v>225</v>
      </c>
      <c r="C40" s="12">
        <v>2</v>
      </c>
      <c r="D40" s="12">
        <v>0</v>
      </c>
      <c r="E40" s="12">
        <v>0</v>
      </c>
      <c r="F40" s="19" t="s">
        <v>129</v>
      </c>
      <c r="G40" s="16"/>
      <c r="H40" s="16"/>
      <c r="I40" s="16"/>
      <c r="J40" s="16"/>
      <c r="K40" s="16"/>
      <c r="L40" s="16"/>
      <c r="AS40"/>
      <c r="AT40"/>
      <c r="AU40"/>
      <c r="AV40"/>
      <c r="AW40"/>
      <c r="AX40"/>
    </row>
    <row r="41" spans="1:50">
      <c r="A41" s="60" t="s">
        <v>219</v>
      </c>
      <c r="B41" s="17" t="s">
        <v>229</v>
      </c>
      <c r="C41" s="12">
        <v>0</v>
      </c>
      <c r="D41" s="12">
        <v>0</v>
      </c>
      <c r="E41" s="12">
        <v>0</v>
      </c>
      <c r="F41" s="12" t="s">
        <v>129</v>
      </c>
      <c r="G41" s="16"/>
      <c r="H41" s="16"/>
      <c r="I41" s="16"/>
      <c r="J41" s="16"/>
      <c r="K41" s="16"/>
      <c r="L41" s="16"/>
      <c r="AS41"/>
      <c r="AT41"/>
      <c r="AU41"/>
      <c r="AV41"/>
      <c r="AW41"/>
      <c r="AX41"/>
    </row>
    <row r="42" spans="1:50" ht="15.75" thickBot="1">
      <c r="A42" s="75" t="s">
        <v>219</v>
      </c>
      <c r="B42" s="76" t="s">
        <v>228</v>
      </c>
      <c r="C42" s="77">
        <v>0</v>
      </c>
      <c r="D42" s="77">
        <v>0</v>
      </c>
      <c r="E42" s="77">
        <v>0</v>
      </c>
      <c r="F42" s="77" t="s">
        <v>129</v>
      </c>
      <c r="G42" s="16"/>
      <c r="H42" s="16"/>
      <c r="I42" s="16"/>
      <c r="J42" s="16"/>
      <c r="K42" s="16"/>
      <c r="L42" s="16"/>
      <c r="M42"/>
      <c r="N42"/>
      <c r="O42"/>
      <c r="P42"/>
      <c r="Q42"/>
      <c r="R42"/>
      <c r="AS42"/>
      <c r="AT42"/>
      <c r="AU42"/>
      <c r="AV42"/>
      <c r="AW42"/>
      <c r="AX42"/>
    </row>
    <row r="43" spans="1:50">
      <c r="A43" s="79" t="s">
        <v>230</v>
      </c>
      <c r="B43" s="72" t="s">
        <v>232</v>
      </c>
      <c r="C43" s="19">
        <v>0</v>
      </c>
      <c r="D43" s="19">
        <v>1</v>
      </c>
      <c r="E43" s="19">
        <v>1</v>
      </c>
      <c r="F43" s="19" t="s">
        <v>129</v>
      </c>
      <c r="G43" s="16"/>
      <c r="H43" s="16"/>
      <c r="I43" s="16"/>
      <c r="J43" s="16"/>
      <c r="K43" s="16"/>
      <c r="L43" s="16"/>
      <c r="M43"/>
      <c r="N43"/>
      <c r="O43"/>
      <c r="P43"/>
      <c r="Q43"/>
      <c r="R43"/>
      <c r="AS43"/>
      <c r="AT43"/>
      <c r="AU43"/>
      <c r="AV43"/>
      <c r="AW43"/>
      <c r="AX43"/>
    </row>
    <row r="44" spans="1:50">
      <c r="A44" s="79" t="s">
        <v>230</v>
      </c>
      <c r="B44" s="17" t="s">
        <v>235</v>
      </c>
      <c r="C44" s="12">
        <v>0</v>
      </c>
      <c r="D44" s="12">
        <v>2</v>
      </c>
      <c r="E44" s="12">
        <v>0</v>
      </c>
      <c r="F44" s="19" t="s">
        <v>129</v>
      </c>
      <c r="G44" s="16"/>
      <c r="H44" s="16"/>
      <c r="I44" s="16"/>
      <c r="J44" s="16"/>
      <c r="K44" s="16"/>
      <c r="L44" s="16"/>
      <c r="M44"/>
      <c r="N44"/>
      <c r="O44"/>
      <c r="P44"/>
      <c r="Q44"/>
      <c r="R44"/>
      <c r="AS44"/>
      <c r="AT44"/>
      <c r="AU44"/>
      <c r="AV44"/>
      <c r="AW44"/>
      <c r="AX44"/>
    </row>
    <row r="45" spans="1:50">
      <c r="A45" s="79" t="s">
        <v>230</v>
      </c>
      <c r="B45" s="17" t="s">
        <v>239</v>
      </c>
      <c r="C45" s="12">
        <v>0</v>
      </c>
      <c r="D45" s="12">
        <v>0</v>
      </c>
      <c r="E45" s="12">
        <v>0</v>
      </c>
      <c r="F45" s="19" t="s">
        <v>129</v>
      </c>
      <c r="G45" s="16"/>
      <c r="H45" s="16"/>
      <c r="I45" s="16"/>
      <c r="J45" s="16"/>
      <c r="K45" s="16"/>
      <c r="L45" s="16"/>
      <c r="M45"/>
      <c r="N45"/>
      <c r="O45"/>
      <c r="P45"/>
      <c r="Q45"/>
      <c r="R45"/>
      <c r="AS45"/>
      <c r="AT45"/>
      <c r="AU45"/>
      <c r="AV45"/>
      <c r="AW45"/>
      <c r="AX45"/>
    </row>
    <row r="46" spans="1:50">
      <c r="A46" s="79" t="s">
        <v>230</v>
      </c>
      <c r="B46" s="17" t="s">
        <v>240</v>
      </c>
      <c r="C46" s="12">
        <v>0</v>
      </c>
      <c r="D46" s="12">
        <v>1</v>
      </c>
      <c r="E46" s="12">
        <v>0</v>
      </c>
      <c r="F46" s="19" t="s">
        <v>129</v>
      </c>
      <c r="G46" s="16"/>
      <c r="H46" s="16"/>
      <c r="I46" s="16"/>
      <c r="J46" s="16"/>
      <c r="K46" s="16"/>
      <c r="L46" s="16"/>
      <c r="AS46"/>
      <c r="AT46"/>
      <c r="AU46"/>
      <c r="AV46"/>
      <c r="AW46"/>
      <c r="AX46"/>
    </row>
    <row r="47" spans="1:50">
      <c r="A47" s="79" t="s">
        <v>230</v>
      </c>
      <c r="B47" s="17" t="s">
        <v>243</v>
      </c>
      <c r="C47" s="12">
        <v>0</v>
      </c>
      <c r="D47" s="12">
        <v>0</v>
      </c>
      <c r="E47" s="12">
        <v>0</v>
      </c>
      <c r="F47" s="19" t="s">
        <v>129</v>
      </c>
      <c r="G47" s="16"/>
      <c r="H47" s="16"/>
      <c r="I47" s="16"/>
      <c r="J47" s="16"/>
      <c r="K47" s="16"/>
      <c r="L47" s="16"/>
      <c r="AS47"/>
      <c r="AT47"/>
      <c r="AU47"/>
      <c r="AV47"/>
      <c r="AW47"/>
      <c r="AX47"/>
    </row>
    <row r="48" spans="1:50">
      <c r="A48" s="79" t="s">
        <v>230</v>
      </c>
      <c r="B48" s="17" t="s">
        <v>246</v>
      </c>
      <c r="C48" s="12">
        <v>0</v>
      </c>
      <c r="D48" s="12">
        <v>0</v>
      </c>
      <c r="E48" s="12">
        <v>0</v>
      </c>
      <c r="F48" s="19" t="s">
        <v>129</v>
      </c>
      <c r="G48" s="16"/>
      <c r="H48" s="16"/>
      <c r="I48" s="16"/>
      <c r="J48" s="16"/>
      <c r="K48" s="16"/>
      <c r="L48" s="16"/>
      <c r="AS48"/>
      <c r="AT48"/>
      <c r="AU48"/>
      <c r="AV48"/>
      <c r="AW48"/>
      <c r="AX48"/>
    </row>
    <row r="49" spans="1:50">
      <c r="A49" s="79" t="s">
        <v>230</v>
      </c>
      <c r="B49" s="17" t="s">
        <v>248</v>
      </c>
      <c r="C49" s="12">
        <v>0</v>
      </c>
      <c r="D49" s="12">
        <v>0</v>
      </c>
      <c r="E49" s="12">
        <v>0</v>
      </c>
      <c r="F49" s="19" t="s">
        <v>129</v>
      </c>
      <c r="G49" s="16"/>
      <c r="H49" s="16"/>
      <c r="I49" s="16"/>
      <c r="J49" s="16"/>
      <c r="K49" s="16"/>
      <c r="L49" s="16"/>
      <c r="AS49"/>
      <c r="AT49"/>
      <c r="AU49"/>
      <c r="AV49"/>
      <c r="AW49"/>
      <c r="AX49"/>
    </row>
    <row r="50" spans="1:50">
      <c r="A50" s="79" t="s">
        <v>230</v>
      </c>
      <c r="B50" s="17" t="s">
        <v>251</v>
      </c>
      <c r="C50" s="12">
        <v>0</v>
      </c>
      <c r="D50" s="12">
        <v>0</v>
      </c>
      <c r="E50" s="12">
        <v>0</v>
      </c>
      <c r="F50" s="19" t="s">
        <v>129</v>
      </c>
      <c r="G50" s="16"/>
      <c r="H50" s="16"/>
      <c r="I50" s="16"/>
      <c r="J50" s="16"/>
      <c r="K50" s="16"/>
      <c r="L50" s="16"/>
      <c r="AS50"/>
      <c r="AT50"/>
      <c r="AU50"/>
      <c r="AV50"/>
      <c r="AW50"/>
      <c r="AX50"/>
    </row>
    <row r="51" spans="1:50" ht="15.75" thickBot="1">
      <c r="A51" s="75" t="s">
        <v>230</v>
      </c>
      <c r="B51" s="76" t="s">
        <v>252</v>
      </c>
      <c r="C51" s="77">
        <v>0</v>
      </c>
      <c r="D51" s="77">
        <v>0</v>
      </c>
      <c r="E51" s="77">
        <v>0</v>
      </c>
      <c r="F51" s="77" t="s">
        <v>129</v>
      </c>
      <c r="G51" s="16"/>
      <c r="H51" s="16"/>
      <c r="I51" s="16"/>
      <c r="J51" s="16"/>
      <c r="K51" s="16"/>
      <c r="L51" s="16"/>
      <c r="AS51"/>
      <c r="AT51"/>
      <c r="AU51"/>
      <c r="AV51"/>
      <c r="AW51"/>
      <c r="AX51"/>
    </row>
    <row r="52" spans="1:50">
      <c r="A52" s="79" t="s">
        <v>254</v>
      </c>
      <c r="B52" s="108" t="s">
        <v>256</v>
      </c>
      <c r="C52" s="109">
        <v>0</v>
      </c>
      <c r="D52" s="109">
        <v>0</v>
      </c>
      <c r="E52" s="109">
        <v>0</v>
      </c>
      <c r="F52" s="109" t="s">
        <v>129</v>
      </c>
      <c r="G52" s="16"/>
      <c r="H52" s="16"/>
      <c r="I52" s="16"/>
      <c r="J52" s="16"/>
      <c r="K52" s="16"/>
      <c r="L52" s="16"/>
      <c r="AS52"/>
      <c r="AT52"/>
      <c r="AU52"/>
      <c r="AV52"/>
      <c r="AW52"/>
      <c r="AX52"/>
    </row>
    <row r="53" spans="1:50">
      <c r="A53" s="79" t="s">
        <v>254</v>
      </c>
      <c r="B53" s="72" t="s">
        <v>259</v>
      </c>
      <c r="C53" s="19">
        <v>0</v>
      </c>
      <c r="D53" s="19">
        <v>0</v>
      </c>
      <c r="E53" s="19">
        <v>0</v>
      </c>
      <c r="F53" s="100" t="s">
        <v>104</v>
      </c>
      <c r="G53" s="16"/>
      <c r="H53" s="16"/>
      <c r="I53" s="16"/>
      <c r="J53" s="16"/>
      <c r="K53" s="16"/>
      <c r="L53" s="16"/>
      <c r="AS53"/>
      <c r="AT53"/>
      <c r="AU53"/>
      <c r="AV53"/>
      <c r="AW53"/>
      <c r="AX53"/>
    </row>
    <row r="54" spans="1:50">
      <c r="A54" s="79" t="s">
        <v>254</v>
      </c>
      <c r="B54" s="17" t="s">
        <v>262</v>
      </c>
      <c r="C54" s="12">
        <v>0</v>
      </c>
      <c r="D54" s="12">
        <v>0</v>
      </c>
      <c r="E54" s="12">
        <v>0</v>
      </c>
      <c r="F54" s="19" t="s">
        <v>104</v>
      </c>
      <c r="G54" s="16"/>
      <c r="H54" s="16"/>
      <c r="I54" s="16"/>
      <c r="J54" s="16"/>
      <c r="K54" s="16"/>
      <c r="L54" s="16"/>
      <c r="AS54"/>
      <c r="AT54"/>
      <c r="AU54"/>
      <c r="AV54"/>
      <c r="AW54"/>
      <c r="AX54"/>
    </row>
    <row r="55" spans="1:50">
      <c r="A55" s="79" t="s">
        <v>254</v>
      </c>
      <c r="B55" s="17" t="s">
        <v>265</v>
      </c>
      <c r="C55" s="12">
        <v>0</v>
      </c>
      <c r="D55" s="12">
        <v>2</v>
      </c>
      <c r="E55" s="12">
        <v>0</v>
      </c>
      <c r="F55" s="19" t="s">
        <v>104</v>
      </c>
      <c r="G55" s="16"/>
      <c r="H55" s="16"/>
      <c r="I55" s="16"/>
      <c r="J55" s="16"/>
      <c r="K55" s="16"/>
      <c r="L55" s="16"/>
      <c r="AS55"/>
      <c r="AT55"/>
      <c r="AU55"/>
      <c r="AV55"/>
      <c r="AW55"/>
      <c r="AX55"/>
    </row>
    <row r="56" spans="1:50">
      <c r="A56" s="79" t="s">
        <v>254</v>
      </c>
      <c r="B56" s="17" t="s">
        <v>267</v>
      </c>
      <c r="C56" s="12">
        <v>0</v>
      </c>
      <c r="D56" s="12">
        <v>2</v>
      </c>
      <c r="E56" s="12">
        <v>0</v>
      </c>
      <c r="F56" s="19" t="s">
        <v>104</v>
      </c>
      <c r="G56" s="16"/>
      <c r="H56" s="16"/>
      <c r="I56" s="16"/>
      <c r="J56" s="16"/>
      <c r="K56" s="16"/>
      <c r="L56" s="16"/>
      <c r="AS56"/>
      <c r="AT56"/>
      <c r="AU56"/>
      <c r="AV56"/>
      <c r="AW56"/>
      <c r="AX56"/>
    </row>
    <row r="57" spans="1:50">
      <c r="A57" s="79" t="s">
        <v>254</v>
      </c>
      <c r="B57" s="17" t="s">
        <v>271</v>
      </c>
      <c r="C57" s="12">
        <v>0</v>
      </c>
      <c r="D57" s="12">
        <v>0</v>
      </c>
      <c r="E57" s="12">
        <v>0</v>
      </c>
      <c r="F57" s="19" t="s">
        <v>104</v>
      </c>
      <c r="G57" s="16"/>
      <c r="H57" s="16"/>
      <c r="I57" s="16"/>
      <c r="J57" s="16"/>
      <c r="K57" s="16"/>
      <c r="L57" s="16"/>
      <c r="AS57"/>
      <c r="AT57"/>
      <c r="AU57"/>
      <c r="AV57"/>
      <c r="AW57"/>
      <c r="AX57"/>
    </row>
    <row r="58" spans="1:50">
      <c r="A58" s="79" t="s">
        <v>254</v>
      </c>
      <c r="B58" s="17" t="s">
        <v>273</v>
      </c>
      <c r="C58" s="12">
        <v>0</v>
      </c>
      <c r="D58" s="12">
        <v>2</v>
      </c>
      <c r="E58" s="12">
        <v>0</v>
      </c>
      <c r="F58" s="19" t="s">
        <v>104</v>
      </c>
      <c r="G58" s="16"/>
      <c r="H58" s="16"/>
      <c r="I58" s="16"/>
      <c r="J58" s="16"/>
      <c r="K58" s="16"/>
      <c r="L58" s="16"/>
      <c r="AS58"/>
      <c r="AT58"/>
      <c r="AU58"/>
      <c r="AV58"/>
      <c r="AW58"/>
      <c r="AX58"/>
    </row>
    <row r="59" spans="1:50">
      <c r="A59" s="79" t="s">
        <v>254</v>
      </c>
      <c r="B59" s="17" t="s">
        <v>274</v>
      </c>
      <c r="C59" s="12">
        <v>0</v>
      </c>
      <c r="D59" s="12">
        <v>1</v>
      </c>
      <c r="E59" s="12">
        <v>0</v>
      </c>
      <c r="F59" s="19" t="s">
        <v>104</v>
      </c>
      <c r="G59" s="16"/>
      <c r="H59" s="16"/>
      <c r="I59" s="16"/>
      <c r="J59" s="16"/>
      <c r="K59" s="16"/>
      <c r="L59" s="16"/>
      <c r="AS59"/>
      <c r="AT59"/>
      <c r="AU59"/>
      <c r="AV59"/>
      <c r="AW59"/>
      <c r="AX59"/>
    </row>
    <row r="60" spans="1:50">
      <c r="A60" s="60" t="s">
        <v>254</v>
      </c>
      <c r="B60" s="17" t="s">
        <v>278</v>
      </c>
      <c r="C60" s="12">
        <v>0</v>
      </c>
      <c r="D60" s="12">
        <v>1</v>
      </c>
      <c r="E60" s="12">
        <v>0</v>
      </c>
      <c r="F60" s="84" t="s">
        <v>129</v>
      </c>
      <c r="G60" s="16"/>
      <c r="H60" s="16"/>
      <c r="I60" s="16"/>
      <c r="J60" s="16"/>
      <c r="K60" s="16"/>
      <c r="L60" s="16"/>
      <c r="AS60"/>
      <c r="AT60"/>
      <c r="AU60"/>
      <c r="AV60"/>
      <c r="AW60"/>
      <c r="AX60"/>
    </row>
    <row r="61" spans="1:50" ht="15.75" thickBot="1">
      <c r="A61" s="75" t="s">
        <v>254</v>
      </c>
      <c r="B61" s="76" t="s">
        <v>277</v>
      </c>
      <c r="C61" s="77">
        <v>0</v>
      </c>
      <c r="D61" s="77">
        <v>1</v>
      </c>
      <c r="E61" s="77">
        <v>0</v>
      </c>
      <c r="F61" s="77" t="s">
        <v>129</v>
      </c>
      <c r="G61" s="16"/>
      <c r="H61" s="16"/>
      <c r="I61" s="16"/>
      <c r="J61" s="16"/>
      <c r="K61" s="16"/>
      <c r="L61" s="16"/>
      <c r="AS61"/>
      <c r="AT61"/>
      <c r="AU61"/>
      <c r="AV61"/>
      <c r="AW61"/>
      <c r="AX61"/>
    </row>
    <row r="62" spans="1:50">
      <c r="A62" s="79" t="s">
        <v>270</v>
      </c>
      <c r="B62" s="72" t="s">
        <v>280</v>
      </c>
      <c r="C62" s="19">
        <v>0</v>
      </c>
      <c r="D62" s="19">
        <v>1</v>
      </c>
      <c r="E62" s="19">
        <v>0</v>
      </c>
      <c r="F62" s="19" t="s">
        <v>129</v>
      </c>
      <c r="G62" s="16"/>
      <c r="H62" s="16"/>
      <c r="I62" s="16"/>
      <c r="J62" s="16"/>
      <c r="K62" s="16"/>
      <c r="L62" s="16"/>
      <c r="AS62"/>
      <c r="AT62"/>
      <c r="AU62"/>
      <c r="AV62"/>
      <c r="AW62"/>
      <c r="AX62"/>
    </row>
    <row r="63" spans="1:50">
      <c r="A63" s="60" t="s">
        <v>270</v>
      </c>
      <c r="B63" s="12" t="s">
        <v>282</v>
      </c>
      <c r="C63" s="12">
        <v>0</v>
      </c>
      <c r="D63" s="12">
        <v>1</v>
      </c>
      <c r="E63" s="12">
        <v>0</v>
      </c>
      <c r="F63" s="12" t="s">
        <v>129</v>
      </c>
      <c r="G63" s="16"/>
      <c r="H63" s="16"/>
      <c r="I63" s="16"/>
      <c r="J63" s="16"/>
      <c r="K63" s="16"/>
      <c r="L63" s="16"/>
      <c r="AS63"/>
      <c r="AT63"/>
      <c r="AU63"/>
      <c r="AV63"/>
      <c r="AW63"/>
      <c r="AX63"/>
    </row>
    <row r="64" spans="1:50">
      <c r="A64" s="60" t="s">
        <v>270</v>
      </c>
      <c r="B64" s="12" t="s">
        <v>284</v>
      </c>
      <c r="C64" s="12">
        <v>0</v>
      </c>
      <c r="D64" s="12">
        <v>0</v>
      </c>
      <c r="E64" s="12">
        <v>0</v>
      </c>
      <c r="F64" s="12" t="s">
        <v>129</v>
      </c>
      <c r="G64" s="16"/>
      <c r="H64" s="16"/>
      <c r="I64" s="16"/>
      <c r="J64" s="16"/>
      <c r="K64" s="16"/>
      <c r="L64" s="16"/>
      <c r="AS64"/>
      <c r="AT64"/>
      <c r="AU64"/>
      <c r="AV64"/>
      <c r="AW64"/>
      <c r="AX64"/>
    </row>
    <row r="65" spans="1:50">
      <c r="A65" s="60" t="s">
        <v>270</v>
      </c>
      <c r="B65" s="12" t="s">
        <v>286</v>
      </c>
      <c r="C65" s="12">
        <v>0</v>
      </c>
      <c r="D65" s="12">
        <v>0</v>
      </c>
      <c r="E65" s="12">
        <v>0</v>
      </c>
      <c r="F65" s="12" t="s">
        <v>129</v>
      </c>
      <c r="G65" s="16"/>
      <c r="H65" s="16"/>
      <c r="I65" s="16"/>
      <c r="J65" s="16"/>
      <c r="K65" s="16"/>
      <c r="L65" s="16"/>
      <c r="AS65"/>
      <c r="AT65"/>
      <c r="AU65"/>
      <c r="AV65"/>
      <c r="AW65"/>
      <c r="AX65"/>
    </row>
    <row r="66" spans="1:50">
      <c r="A66" s="60" t="s">
        <v>270</v>
      </c>
      <c r="B66" s="17" t="s">
        <v>289</v>
      </c>
      <c r="C66" s="12">
        <v>0</v>
      </c>
      <c r="D66" s="12">
        <v>0</v>
      </c>
      <c r="E66" s="12">
        <v>0</v>
      </c>
      <c r="F66" s="12" t="s">
        <v>129</v>
      </c>
      <c r="G66" s="16"/>
      <c r="H66" s="16"/>
      <c r="I66" s="16"/>
      <c r="J66" s="16"/>
      <c r="K66" s="16"/>
      <c r="L66" s="16"/>
      <c r="AS66"/>
      <c r="AT66"/>
      <c r="AU66"/>
      <c r="AV66"/>
      <c r="AW66"/>
      <c r="AX66"/>
    </row>
    <row r="67" spans="1:50">
      <c r="A67" s="60" t="s">
        <v>270</v>
      </c>
      <c r="B67" s="17" t="s">
        <v>291</v>
      </c>
      <c r="C67" s="12">
        <v>1</v>
      </c>
      <c r="D67" s="12">
        <v>0</v>
      </c>
      <c r="E67" s="12">
        <v>0</v>
      </c>
      <c r="F67" s="12" t="s">
        <v>129</v>
      </c>
      <c r="G67" s="16"/>
      <c r="H67" s="16"/>
      <c r="I67" s="16"/>
      <c r="J67" s="16"/>
      <c r="K67" s="16"/>
      <c r="L67" s="16"/>
      <c r="AS67"/>
      <c r="AT67"/>
      <c r="AU67"/>
      <c r="AV67"/>
      <c r="AW67"/>
      <c r="AX67"/>
    </row>
    <row r="68" spans="1:50">
      <c r="A68" s="60" t="s">
        <v>270</v>
      </c>
      <c r="B68" s="12" t="s">
        <v>296</v>
      </c>
      <c r="C68" s="12">
        <v>0</v>
      </c>
      <c r="D68" s="12">
        <v>2</v>
      </c>
      <c r="E68" s="12">
        <v>0</v>
      </c>
      <c r="F68" s="12" t="s">
        <v>129</v>
      </c>
      <c r="G68" s="16"/>
      <c r="H68" s="16"/>
      <c r="I68" s="16"/>
      <c r="J68" s="16"/>
      <c r="K68" s="16"/>
      <c r="L68" s="16"/>
      <c r="AS68"/>
      <c r="AT68"/>
      <c r="AU68"/>
      <c r="AV68"/>
      <c r="AW68"/>
      <c r="AX68"/>
    </row>
    <row r="69" spans="1:50" ht="15.75" thickBot="1">
      <c r="A69" s="75" t="s">
        <v>270</v>
      </c>
      <c r="B69" s="77" t="s">
        <v>301</v>
      </c>
      <c r="C69" s="77">
        <v>0</v>
      </c>
      <c r="D69" s="77">
        <v>0</v>
      </c>
      <c r="E69" s="77">
        <v>1</v>
      </c>
      <c r="F69" s="77" t="s">
        <v>129</v>
      </c>
      <c r="G69" s="16"/>
      <c r="H69" s="16"/>
      <c r="I69" s="16"/>
      <c r="J69" s="16"/>
      <c r="K69" s="16"/>
      <c r="L69" s="16"/>
      <c r="AS69"/>
      <c r="AT69"/>
      <c r="AU69"/>
      <c r="AV69"/>
      <c r="AW69"/>
      <c r="AX69"/>
    </row>
    <row r="70" spans="1:50">
      <c r="A70" s="79" t="s">
        <v>23</v>
      </c>
      <c r="B70" s="72" t="s">
        <v>306</v>
      </c>
      <c r="C70" s="19">
        <v>0</v>
      </c>
      <c r="D70" s="19">
        <v>1</v>
      </c>
      <c r="E70" s="19">
        <v>0</v>
      </c>
      <c r="F70" s="19" t="s">
        <v>129</v>
      </c>
      <c r="G70" s="16"/>
      <c r="H70" s="16"/>
      <c r="I70" s="16"/>
      <c r="J70" s="16"/>
      <c r="K70" s="16"/>
      <c r="L70" s="16"/>
      <c r="AS70"/>
      <c r="AT70"/>
      <c r="AU70"/>
      <c r="AV70"/>
      <c r="AW70"/>
      <c r="AX70"/>
    </row>
    <row r="71" spans="1:50" ht="28.5">
      <c r="A71" s="60" t="s">
        <v>23</v>
      </c>
      <c r="B71" s="121" t="s">
        <v>302</v>
      </c>
      <c r="C71" s="12">
        <v>0</v>
      </c>
      <c r="D71" s="12">
        <v>1</v>
      </c>
      <c r="E71" s="12">
        <v>0</v>
      </c>
      <c r="F71" s="12" t="s">
        <v>129</v>
      </c>
      <c r="G71" s="16"/>
      <c r="H71" s="16"/>
      <c r="I71" s="16"/>
      <c r="J71" s="16"/>
      <c r="K71" s="16"/>
      <c r="L71" s="16"/>
      <c r="AS71"/>
      <c r="AT71"/>
      <c r="AU71"/>
      <c r="AV71"/>
      <c r="AW71"/>
      <c r="AX71"/>
    </row>
    <row r="72" spans="1:50">
      <c r="A72" s="60" t="s">
        <v>23</v>
      </c>
      <c r="B72" s="12" t="s">
        <v>310</v>
      </c>
      <c r="C72" s="12">
        <v>0</v>
      </c>
      <c r="D72" s="12">
        <v>0</v>
      </c>
      <c r="E72" s="12">
        <v>0</v>
      </c>
      <c r="F72" s="12" t="s">
        <v>129</v>
      </c>
      <c r="G72" s="16"/>
      <c r="H72" s="16"/>
      <c r="I72" s="16"/>
      <c r="J72" s="16"/>
      <c r="K72" s="16"/>
      <c r="L72" s="16"/>
      <c r="AS72"/>
      <c r="AT72"/>
      <c r="AU72"/>
      <c r="AV72"/>
      <c r="AW72"/>
      <c r="AX72"/>
    </row>
    <row r="73" spans="1:50">
      <c r="A73" s="60" t="s">
        <v>23</v>
      </c>
      <c r="B73" s="12" t="s">
        <v>311</v>
      </c>
      <c r="C73" s="12">
        <v>0</v>
      </c>
      <c r="D73" s="12">
        <v>0</v>
      </c>
      <c r="E73" s="12">
        <v>0</v>
      </c>
      <c r="F73" s="12" t="s">
        <v>129</v>
      </c>
      <c r="G73" s="16"/>
      <c r="H73" s="16"/>
      <c r="I73" s="16"/>
      <c r="J73" s="16"/>
      <c r="K73" s="16"/>
      <c r="L73" s="16"/>
      <c r="AS73"/>
      <c r="AT73"/>
      <c r="AU73"/>
      <c r="AV73"/>
      <c r="AW73"/>
      <c r="AX73"/>
    </row>
    <row r="74" spans="1:50">
      <c r="A74" s="60" t="s">
        <v>23</v>
      </c>
      <c r="B74" s="12" t="s">
        <v>309</v>
      </c>
      <c r="C74" s="12">
        <v>0</v>
      </c>
      <c r="D74" s="12">
        <v>0</v>
      </c>
      <c r="E74" s="12">
        <v>1</v>
      </c>
      <c r="F74" s="12" t="s">
        <v>129</v>
      </c>
      <c r="G74" s="16"/>
      <c r="H74" s="16"/>
      <c r="I74" s="16"/>
      <c r="J74" s="16"/>
      <c r="K74" s="16"/>
      <c r="L74" s="16"/>
      <c r="AS74"/>
      <c r="AT74"/>
      <c r="AU74"/>
      <c r="AV74"/>
      <c r="AW74"/>
      <c r="AX74"/>
    </row>
    <row r="75" spans="1:50">
      <c r="A75" s="60" t="s">
        <v>23</v>
      </c>
      <c r="B75" s="12" t="s">
        <v>314</v>
      </c>
      <c r="C75" s="12">
        <v>0</v>
      </c>
      <c r="D75" s="12">
        <v>0</v>
      </c>
      <c r="E75" s="12">
        <v>0</v>
      </c>
      <c r="F75" s="12" t="s">
        <v>129</v>
      </c>
      <c r="G75" s="16"/>
      <c r="H75" s="16"/>
      <c r="I75" s="16"/>
      <c r="J75" s="16"/>
      <c r="K75" s="16"/>
      <c r="L75" s="16"/>
      <c r="AS75"/>
      <c r="AT75"/>
      <c r="AU75"/>
      <c r="AV75"/>
      <c r="AW75"/>
      <c r="AX75"/>
    </row>
    <row r="76" spans="1:50">
      <c r="A76" s="60" t="s">
        <v>23</v>
      </c>
      <c r="B76" s="12" t="s">
        <v>317</v>
      </c>
      <c r="C76" s="12">
        <v>0</v>
      </c>
      <c r="D76" s="12">
        <v>0</v>
      </c>
      <c r="E76" s="12">
        <v>0</v>
      </c>
      <c r="F76" s="12" t="s">
        <v>129</v>
      </c>
      <c r="G76" s="16"/>
      <c r="H76" s="16"/>
      <c r="I76" s="16"/>
      <c r="J76" s="16"/>
      <c r="K76" s="16"/>
      <c r="L76" s="16"/>
      <c r="AS76"/>
      <c r="AT76"/>
      <c r="AU76"/>
      <c r="AV76"/>
      <c r="AW76"/>
      <c r="AX76"/>
    </row>
    <row r="77" spans="1:50">
      <c r="A77" s="60" t="s">
        <v>23</v>
      </c>
      <c r="B77" s="12" t="s">
        <v>320</v>
      </c>
      <c r="C77" s="12">
        <v>0</v>
      </c>
      <c r="D77" s="12">
        <v>0</v>
      </c>
      <c r="E77" s="12">
        <v>0</v>
      </c>
      <c r="F77" s="12" t="s">
        <v>129</v>
      </c>
      <c r="G77" s="16"/>
      <c r="H77" s="16"/>
      <c r="I77" s="16"/>
      <c r="J77" s="16"/>
      <c r="K77" s="16"/>
      <c r="L77" s="16"/>
      <c r="AS77"/>
      <c r="AT77"/>
      <c r="AU77"/>
      <c r="AV77"/>
      <c r="AW77"/>
      <c r="AX77"/>
    </row>
    <row r="78" spans="1:50" ht="15.75" thickBot="1">
      <c r="A78" s="75" t="s">
        <v>23</v>
      </c>
      <c r="B78" s="77" t="s">
        <v>321</v>
      </c>
      <c r="C78" s="77">
        <v>0</v>
      </c>
      <c r="D78" s="77">
        <v>0</v>
      </c>
      <c r="E78" s="77">
        <v>0</v>
      </c>
      <c r="F78" s="77" t="s">
        <v>129</v>
      </c>
      <c r="G78" s="16"/>
      <c r="H78" s="16"/>
      <c r="I78" s="16"/>
      <c r="J78" s="16"/>
      <c r="K78" s="16"/>
      <c r="L78" s="16"/>
      <c r="AS78"/>
      <c r="AT78"/>
      <c r="AU78"/>
      <c r="AV78"/>
      <c r="AW78"/>
      <c r="AX78"/>
    </row>
    <row r="79" spans="1:50">
      <c r="A79" s="79" t="s">
        <v>24</v>
      </c>
      <c r="B79" s="19" t="s">
        <v>322</v>
      </c>
      <c r="C79" s="19">
        <v>0</v>
      </c>
      <c r="D79" s="19">
        <v>0</v>
      </c>
      <c r="E79" s="19">
        <v>0</v>
      </c>
      <c r="F79" s="19" t="s">
        <v>129</v>
      </c>
      <c r="G79" s="16"/>
      <c r="H79" s="16"/>
      <c r="I79" s="16"/>
      <c r="J79" s="16"/>
      <c r="K79" s="16"/>
      <c r="L79" s="16"/>
      <c r="AS79"/>
      <c r="AT79"/>
      <c r="AU79"/>
      <c r="AV79"/>
      <c r="AW79"/>
      <c r="AX79"/>
    </row>
    <row r="80" spans="1:50">
      <c r="A80" s="79" t="s">
        <v>24</v>
      </c>
      <c r="B80" s="12" t="s">
        <v>326</v>
      </c>
      <c r="C80" s="12">
        <v>0</v>
      </c>
      <c r="D80" s="12">
        <v>0</v>
      </c>
      <c r="E80" s="12">
        <v>0</v>
      </c>
      <c r="F80" s="12" t="s">
        <v>129</v>
      </c>
      <c r="G80" s="16"/>
      <c r="H80" s="16"/>
      <c r="I80" s="16"/>
      <c r="J80" s="16"/>
      <c r="K80" s="16"/>
      <c r="L80" s="16"/>
      <c r="AS80"/>
      <c r="AT80"/>
      <c r="AU80"/>
      <c r="AV80"/>
      <c r="AW80"/>
      <c r="AX80"/>
    </row>
    <row r="81" spans="1:50">
      <c r="A81" s="79" t="s">
        <v>24</v>
      </c>
      <c r="B81" s="49" t="s">
        <v>328</v>
      </c>
      <c r="C81" s="49">
        <v>0</v>
      </c>
      <c r="D81" s="49">
        <v>0</v>
      </c>
      <c r="E81" s="49">
        <v>0</v>
      </c>
      <c r="F81" s="49" t="s">
        <v>129</v>
      </c>
      <c r="G81" s="16"/>
      <c r="H81" s="16"/>
      <c r="I81" s="16"/>
      <c r="J81" s="16"/>
      <c r="K81" s="16"/>
      <c r="L81" s="16"/>
      <c r="AS81"/>
      <c r="AT81"/>
      <c r="AU81"/>
      <c r="AV81"/>
      <c r="AW81"/>
      <c r="AX81"/>
    </row>
    <row r="82" spans="1:50">
      <c r="A82" s="79" t="s">
        <v>24</v>
      </c>
      <c r="B82" s="12" t="s">
        <v>329</v>
      </c>
      <c r="C82" s="132">
        <v>2</v>
      </c>
      <c r="D82" s="132">
        <v>0</v>
      </c>
      <c r="E82" s="132">
        <v>0</v>
      </c>
      <c r="F82" s="97" t="s">
        <v>330</v>
      </c>
      <c r="G82" s="16"/>
      <c r="H82" s="16"/>
      <c r="I82" s="16"/>
      <c r="J82" s="16"/>
      <c r="K82" s="16"/>
      <c r="L82" s="16"/>
      <c r="AS82"/>
      <c r="AT82"/>
      <c r="AU82"/>
      <c r="AV82"/>
      <c r="AW82"/>
      <c r="AX82"/>
    </row>
    <row r="83" spans="1:50">
      <c r="A83" s="79" t="s">
        <v>24</v>
      </c>
      <c r="B83" s="12" t="s">
        <v>334</v>
      </c>
      <c r="C83" s="132">
        <v>2</v>
      </c>
      <c r="D83" s="132">
        <v>0</v>
      </c>
      <c r="E83" s="132">
        <v>0</v>
      </c>
      <c r="F83" s="12" t="s">
        <v>330</v>
      </c>
      <c r="G83" s="16"/>
      <c r="H83" s="16"/>
      <c r="I83" s="16"/>
      <c r="J83" s="16"/>
      <c r="K83" s="16"/>
      <c r="L83" s="16"/>
      <c r="AS83"/>
      <c r="AT83"/>
      <c r="AU83"/>
      <c r="AV83"/>
      <c r="AW83"/>
      <c r="AX83"/>
    </row>
    <row r="84" spans="1:50">
      <c r="A84" s="79" t="s">
        <v>24</v>
      </c>
      <c r="B84" s="12" t="s">
        <v>335</v>
      </c>
      <c r="C84" s="132">
        <v>0</v>
      </c>
      <c r="D84" s="132">
        <v>0</v>
      </c>
      <c r="E84" s="132">
        <v>0</v>
      </c>
      <c r="F84" s="97" t="s">
        <v>129</v>
      </c>
      <c r="G84" s="16"/>
      <c r="H84" s="16"/>
      <c r="I84" s="16"/>
      <c r="J84" s="16"/>
      <c r="K84" s="16"/>
      <c r="L84" s="16"/>
      <c r="AS84"/>
      <c r="AT84"/>
      <c r="AU84"/>
      <c r="AV84"/>
      <c r="AW84"/>
      <c r="AX84"/>
    </row>
    <row r="85" spans="1:50">
      <c r="A85" s="79" t="s">
        <v>24</v>
      </c>
      <c r="B85" s="12" t="s">
        <v>336</v>
      </c>
      <c r="C85" s="132">
        <v>0</v>
      </c>
      <c r="D85" s="132">
        <v>0</v>
      </c>
      <c r="E85" s="132">
        <v>0</v>
      </c>
      <c r="F85" s="12" t="s">
        <v>129</v>
      </c>
      <c r="G85" s="16"/>
      <c r="H85" s="16"/>
      <c r="I85" s="16"/>
      <c r="J85" s="16"/>
      <c r="K85" s="16"/>
      <c r="L85" s="16"/>
      <c r="AS85"/>
      <c r="AT85"/>
      <c r="AU85"/>
      <c r="AV85"/>
      <c r="AW85"/>
      <c r="AX85"/>
    </row>
    <row r="86" spans="1:50" ht="15.75" thickBot="1">
      <c r="A86" s="75" t="s">
        <v>24</v>
      </c>
      <c r="B86" s="77" t="s">
        <v>337</v>
      </c>
      <c r="C86" s="77">
        <v>0</v>
      </c>
      <c r="D86" s="77">
        <v>0</v>
      </c>
      <c r="E86" s="77">
        <v>1</v>
      </c>
      <c r="F86" s="77" t="s">
        <v>129</v>
      </c>
      <c r="G86" s="16"/>
      <c r="H86" s="16"/>
      <c r="I86" s="16"/>
      <c r="J86" s="16"/>
      <c r="K86" s="16"/>
      <c r="L86" s="16"/>
      <c r="AS86"/>
      <c r="AT86"/>
      <c r="AU86"/>
      <c r="AV86"/>
      <c r="AW86"/>
      <c r="AX86"/>
    </row>
    <row r="87" spans="1:50">
      <c r="A87" s="79" t="s">
        <v>25</v>
      </c>
      <c r="B87" s="19" t="s">
        <v>338</v>
      </c>
      <c r="C87" s="19">
        <v>0</v>
      </c>
      <c r="D87" s="19">
        <v>0</v>
      </c>
      <c r="E87" s="19">
        <v>0</v>
      </c>
      <c r="F87" s="19" t="s">
        <v>129</v>
      </c>
      <c r="G87" s="16"/>
      <c r="H87" s="16"/>
      <c r="I87" s="16"/>
      <c r="J87" s="16"/>
      <c r="K87" s="16"/>
      <c r="L87" s="16"/>
      <c r="AS87"/>
      <c r="AT87"/>
      <c r="AU87"/>
      <c r="AV87"/>
      <c r="AW87"/>
      <c r="AX87"/>
    </row>
    <row r="88" spans="1:50">
      <c r="A88" s="60" t="s">
        <v>25</v>
      </c>
      <c r="B88" s="12" t="s">
        <v>339</v>
      </c>
      <c r="C88" s="12">
        <v>1</v>
      </c>
      <c r="D88" s="12">
        <v>0</v>
      </c>
      <c r="E88" s="12">
        <v>0</v>
      </c>
      <c r="F88" s="12" t="s">
        <v>129</v>
      </c>
      <c r="G88" s="16"/>
      <c r="H88" s="16"/>
      <c r="I88" s="16"/>
      <c r="J88" s="16"/>
      <c r="K88" s="16"/>
      <c r="L88" s="16"/>
      <c r="AS88"/>
      <c r="AT88"/>
      <c r="AU88"/>
      <c r="AV88"/>
      <c r="AW88"/>
      <c r="AX88"/>
    </row>
    <row r="89" spans="1:50" ht="28.5">
      <c r="A89" s="60" t="s">
        <v>25</v>
      </c>
      <c r="B89" s="17" t="s">
        <v>344</v>
      </c>
      <c r="C89" s="12">
        <v>2</v>
      </c>
      <c r="D89" s="12">
        <v>0</v>
      </c>
      <c r="E89" s="12">
        <v>0</v>
      </c>
      <c r="F89" s="12" t="s">
        <v>129</v>
      </c>
      <c r="G89" s="16"/>
      <c r="H89" s="16"/>
      <c r="I89" s="16"/>
      <c r="J89" s="16"/>
      <c r="K89" s="16"/>
      <c r="L89" s="16"/>
      <c r="AS89"/>
      <c r="AT89"/>
      <c r="AU89"/>
      <c r="AV89"/>
      <c r="AW89"/>
      <c r="AX89"/>
    </row>
    <row r="90" spans="1:50">
      <c r="A90" s="60" t="s">
        <v>25</v>
      </c>
      <c r="B90" s="17" t="s">
        <v>346</v>
      </c>
      <c r="C90" s="12">
        <v>0</v>
      </c>
      <c r="D90" s="12">
        <v>0</v>
      </c>
      <c r="E90" s="12">
        <v>0</v>
      </c>
      <c r="F90" s="12" t="s">
        <v>129</v>
      </c>
      <c r="G90" s="16"/>
      <c r="H90" s="16"/>
      <c r="I90" s="16"/>
      <c r="J90" s="16"/>
      <c r="K90" s="16"/>
      <c r="L90" s="16"/>
      <c r="AS90"/>
      <c r="AT90"/>
      <c r="AU90"/>
      <c r="AV90"/>
      <c r="AW90"/>
      <c r="AX90"/>
    </row>
    <row r="91" spans="1:50" ht="28.5">
      <c r="A91" s="60" t="s">
        <v>25</v>
      </c>
      <c r="B91" s="17" t="s">
        <v>351</v>
      </c>
      <c r="C91" s="12">
        <v>0</v>
      </c>
      <c r="D91" s="12">
        <v>3</v>
      </c>
      <c r="E91" s="12">
        <v>0</v>
      </c>
      <c r="F91" s="12" t="s">
        <v>129</v>
      </c>
      <c r="G91" s="16"/>
      <c r="H91" s="16"/>
      <c r="I91" s="16"/>
      <c r="J91" s="16"/>
      <c r="K91" s="16"/>
      <c r="L91" s="16"/>
      <c r="AS91"/>
      <c r="AT91"/>
      <c r="AU91"/>
      <c r="AV91"/>
      <c r="AW91"/>
      <c r="AX91"/>
    </row>
    <row r="92" spans="1:50">
      <c r="A92" s="60" t="s">
        <v>25</v>
      </c>
      <c r="B92" s="17" t="s">
        <v>352</v>
      </c>
      <c r="C92" s="12">
        <v>0</v>
      </c>
      <c r="D92" s="12">
        <v>0</v>
      </c>
      <c r="E92" s="12">
        <v>0</v>
      </c>
      <c r="F92" s="12" t="s">
        <v>129</v>
      </c>
      <c r="G92" s="16"/>
      <c r="H92" s="16"/>
      <c r="I92" s="16"/>
      <c r="J92" s="16"/>
      <c r="K92" s="16"/>
      <c r="L92" s="16"/>
      <c r="AS92"/>
      <c r="AT92"/>
      <c r="AU92"/>
      <c r="AV92"/>
      <c r="AW92"/>
      <c r="AX92"/>
    </row>
    <row r="93" spans="1:50">
      <c r="A93" s="60" t="s">
        <v>25</v>
      </c>
      <c r="B93" s="12" t="s">
        <v>356</v>
      </c>
      <c r="C93" s="12">
        <v>0</v>
      </c>
      <c r="D93" s="12">
        <v>0</v>
      </c>
      <c r="E93" s="12">
        <v>0</v>
      </c>
      <c r="F93" s="12" t="s">
        <v>129</v>
      </c>
      <c r="G93" s="16"/>
      <c r="H93" s="16"/>
      <c r="I93" s="16"/>
      <c r="J93" s="16"/>
      <c r="K93" s="16"/>
      <c r="L93" s="16"/>
      <c r="AS93"/>
      <c r="AT93"/>
      <c r="AU93"/>
      <c r="AV93"/>
      <c r="AW93"/>
      <c r="AX93"/>
    </row>
    <row r="94" spans="1:50" ht="15.75" thickBot="1">
      <c r="A94" s="75" t="s">
        <v>25</v>
      </c>
      <c r="B94" s="76" t="s">
        <v>357</v>
      </c>
      <c r="C94" s="77">
        <v>0</v>
      </c>
      <c r="D94" s="77">
        <v>0</v>
      </c>
      <c r="E94" s="77">
        <v>0</v>
      </c>
      <c r="F94" s="77" t="s">
        <v>129</v>
      </c>
      <c r="G94" s="16"/>
      <c r="H94" s="16"/>
      <c r="I94" s="16"/>
      <c r="J94" s="16"/>
      <c r="K94" s="16"/>
      <c r="L94" s="16"/>
      <c r="AS94"/>
      <c r="AT94"/>
      <c r="AU94"/>
      <c r="AV94"/>
      <c r="AW94"/>
      <c r="AX94"/>
    </row>
    <row r="95" spans="1:50">
      <c r="A95" s="79" t="s">
        <v>26</v>
      </c>
      <c r="B95" s="72" t="s">
        <v>358</v>
      </c>
      <c r="C95" s="19">
        <v>0</v>
      </c>
      <c r="D95" s="19">
        <v>2</v>
      </c>
      <c r="E95" s="19">
        <v>0</v>
      </c>
      <c r="F95" s="19" t="s">
        <v>129</v>
      </c>
      <c r="G95" s="16"/>
      <c r="H95" s="16"/>
      <c r="I95" s="16"/>
      <c r="J95" s="16"/>
      <c r="K95" s="16"/>
      <c r="L95" s="16"/>
      <c r="AS95"/>
      <c r="AT95"/>
      <c r="AU95"/>
      <c r="AV95"/>
      <c r="AW95"/>
      <c r="AX95"/>
    </row>
    <row r="96" spans="1:50">
      <c r="A96" s="60" t="s">
        <v>26</v>
      </c>
      <c r="B96" s="17" t="s">
        <v>363</v>
      </c>
      <c r="C96" s="12">
        <v>0</v>
      </c>
      <c r="D96" s="12">
        <v>1</v>
      </c>
      <c r="E96" s="12">
        <v>0</v>
      </c>
      <c r="F96" s="12" t="s">
        <v>129</v>
      </c>
      <c r="G96" s="16"/>
      <c r="H96" s="16"/>
      <c r="I96" s="16"/>
      <c r="J96" s="16"/>
      <c r="K96" s="16"/>
      <c r="L96" s="16"/>
      <c r="AS96"/>
      <c r="AT96"/>
      <c r="AU96"/>
      <c r="AV96"/>
      <c r="AW96"/>
      <c r="AX96"/>
    </row>
    <row r="97" spans="1:50">
      <c r="A97" s="60" t="s">
        <v>26</v>
      </c>
      <c r="B97" s="12" t="s">
        <v>364</v>
      </c>
      <c r="C97" s="12">
        <v>0</v>
      </c>
      <c r="D97" s="12">
        <v>3</v>
      </c>
      <c r="E97" s="12">
        <v>0</v>
      </c>
      <c r="F97" s="12" t="s">
        <v>129</v>
      </c>
      <c r="G97" s="16"/>
      <c r="H97" s="16"/>
      <c r="I97" s="16"/>
      <c r="J97" s="16"/>
      <c r="K97" s="16"/>
      <c r="L97" s="16"/>
      <c r="AS97"/>
      <c r="AT97"/>
      <c r="AU97"/>
      <c r="AV97"/>
      <c r="AW97"/>
      <c r="AX97"/>
    </row>
    <row r="98" spans="1:50">
      <c r="A98" s="60" t="s">
        <v>26</v>
      </c>
      <c r="B98" s="12" t="s">
        <v>366</v>
      </c>
      <c r="C98" s="12">
        <v>0</v>
      </c>
      <c r="D98" s="12">
        <v>2</v>
      </c>
      <c r="E98" s="12">
        <v>0</v>
      </c>
      <c r="F98" s="12" t="s">
        <v>129</v>
      </c>
      <c r="G98" s="16"/>
      <c r="H98" s="16"/>
      <c r="I98" s="16"/>
      <c r="J98" s="16"/>
      <c r="K98" s="16"/>
      <c r="L98" s="16"/>
      <c r="AS98"/>
      <c r="AT98"/>
      <c r="AU98"/>
      <c r="AV98"/>
      <c r="AW98"/>
      <c r="AX98"/>
    </row>
    <row r="99" spans="1:50">
      <c r="A99" s="60" t="s">
        <v>26</v>
      </c>
      <c r="B99" s="12" t="s">
        <v>368</v>
      </c>
      <c r="C99" s="12">
        <v>0</v>
      </c>
      <c r="D99" s="12">
        <v>0</v>
      </c>
      <c r="E99" s="12">
        <v>0</v>
      </c>
      <c r="F99" s="12" t="s">
        <v>129</v>
      </c>
      <c r="G99" s="16"/>
      <c r="H99" s="16"/>
      <c r="I99" s="16"/>
      <c r="J99" s="16"/>
      <c r="K99" s="16"/>
      <c r="L99" s="16"/>
      <c r="AS99"/>
      <c r="AT99"/>
      <c r="AU99"/>
      <c r="AV99"/>
      <c r="AW99"/>
      <c r="AX99"/>
    </row>
    <row r="100" spans="1:50">
      <c r="A100" s="60" t="s">
        <v>26</v>
      </c>
      <c r="B100" s="12" t="s">
        <v>369</v>
      </c>
      <c r="C100" s="12">
        <v>0</v>
      </c>
      <c r="D100" s="12">
        <v>0</v>
      </c>
      <c r="E100" s="12">
        <v>0</v>
      </c>
      <c r="F100" s="12" t="s">
        <v>129</v>
      </c>
      <c r="G100" s="16"/>
      <c r="H100" s="16"/>
      <c r="I100" s="16"/>
      <c r="J100" s="16"/>
      <c r="K100" s="16"/>
      <c r="L100" s="16"/>
      <c r="AS100"/>
      <c r="AT100"/>
      <c r="AU100"/>
      <c r="AV100"/>
      <c r="AW100"/>
      <c r="AX100"/>
    </row>
    <row r="101" spans="1:50">
      <c r="A101" s="60" t="s">
        <v>26</v>
      </c>
      <c r="B101" s="12" t="s">
        <v>371</v>
      </c>
      <c r="C101" s="12">
        <v>3</v>
      </c>
      <c r="D101" s="12">
        <v>0</v>
      </c>
      <c r="E101" s="12">
        <v>0</v>
      </c>
      <c r="F101" s="97" t="s">
        <v>372</v>
      </c>
      <c r="G101" s="16"/>
      <c r="H101" s="16"/>
      <c r="I101" s="16"/>
      <c r="J101" s="16"/>
      <c r="K101" s="16"/>
      <c r="L101" s="16"/>
      <c r="AS101"/>
      <c r="AT101"/>
      <c r="AU101"/>
      <c r="AV101"/>
      <c r="AW101"/>
      <c r="AX101"/>
    </row>
    <row r="102" spans="1:50">
      <c r="A102" s="60" t="s">
        <v>26</v>
      </c>
      <c r="B102" s="12" t="s">
        <v>374</v>
      </c>
      <c r="C102" s="12">
        <v>0</v>
      </c>
      <c r="D102" s="12">
        <v>1</v>
      </c>
      <c r="E102" s="12">
        <v>0</v>
      </c>
      <c r="F102" s="135" t="s">
        <v>372</v>
      </c>
      <c r="G102" s="16"/>
      <c r="H102" s="16"/>
      <c r="I102" s="16"/>
      <c r="J102" s="16"/>
      <c r="K102" s="16"/>
      <c r="L102" s="16"/>
      <c r="AS102"/>
      <c r="AT102"/>
      <c r="AU102"/>
      <c r="AV102"/>
      <c r="AW102"/>
      <c r="AX102"/>
    </row>
    <row r="103" spans="1:50">
      <c r="A103" s="60" t="s">
        <v>26</v>
      </c>
      <c r="B103" s="17" t="s">
        <v>375</v>
      </c>
      <c r="C103" s="12">
        <v>0</v>
      </c>
      <c r="D103" s="12">
        <v>0</v>
      </c>
      <c r="E103" s="12">
        <v>0</v>
      </c>
      <c r="F103" s="135" t="s">
        <v>372</v>
      </c>
      <c r="G103" s="16"/>
      <c r="H103" s="16"/>
      <c r="I103" s="16"/>
      <c r="J103" s="16"/>
      <c r="K103" s="16"/>
      <c r="L103" s="16"/>
      <c r="AS103"/>
      <c r="AT103"/>
      <c r="AU103"/>
      <c r="AV103"/>
      <c r="AW103"/>
      <c r="AX103"/>
    </row>
    <row r="104" spans="1:50" ht="15.75" thickBot="1">
      <c r="A104" s="75" t="s">
        <v>26</v>
      </c>
      <c r="B104" s="76" t="s">
        <v>381</v>
      </c>
      <c r="C104" s="77">
        <v>0</v>
      </c>
      <c r="D104" s="77">
        <v>0</v>
      </c>
      <c r="E104" s="77">
        <v>0</v>
      </c>
      <c r="F104" s="137" t="s">
        <v>372</v>
      </c>
      <c r="G104" s="16"/>
      <c r="H104" s="16"/>
      <c r="I104" s="16"/>
      <c r="J104" s="16"/>
      <c r="K104" s="16"/>
      <c r="L104" s="16"/>
      <c r="AS104"/>
      <c r="AT104"/>
      <c r="AU104"/>
      <c r="AV104"/>
      <c r="AW104"/>
      <c r="AX104"/>
    </row>
    <row r="105" spans="1:50">
      <c r="A105" s="79" t="s">
        <v>27</v>
      </c>
      <c r="B105" s="19" t="s">
        <v>382</v>
      </c>
      <c r="C105" s="19">
        <v>0</v>
      </c>
      <c r="D105" s="19">
        <v>0</v>
      </c>
      <c r="E105" s="19">
        <v>0</v>
      </c>
      <c r="F105" s="136" t="s">
        <v>372</v>
      </c>
      <c r="G105" s="16"/>
      <c r="H105" s="16"/>
      <c r="I105" s="16"/>
      <c r="J105" s="16"/>
      <c r="K105" s="16"/>
      <c r="L105" s="16"/>
      <c r="AS105"/>
      <c r="AT105"/>
      <c r="AU105"/>
      <c r="AV105"/>
      <c r="AW105"/>
      <c r="AX105"/>
    </row>
    <row r="106" spans="1:50">
      <c r="A106" s="60" t="s">
        <v>27</v>
      </c>
      <c r="B106" s="12" t="s">
        <v>383</v>
      </c>
      <c r="C106" s="12">
        <v>0</v>
      </c>
      <c r="D106" s="12">
        <v>0</v>
      </c>
      <c r="E106" s="12">
        <v>0</v>
      </c>
      <c r="F106" s="135" t="s">
        <v>372</v>
      </c>
      <c r="G106" s="16"/>
      <c r="H106" s="16"/>
      <c r="I106" s="16"/>
      <c r="J106" s="16"/>
      <c r="K106" s="16"/>
      <c r="L106" s="16"/>
      <c r="AS106"/>
      <c r="AT106"/>
      <c r="AU106"/>
      <c r="AV106"/>
      <c r="AW106"/>
      <c r="AX106"/>
    </row>
    <row r="107" spans="1:50">
      <c r="A107" s="60" t="s">
        <v>27</v>
      </c>
      <c r="B107" s="12" t="s">
        <v>384</v>
      </c>
      <c r="C107" s="12">
        <v>0</v>
      </c>
      <c r="D107" s="12">
        <v>6</v>
      </c>
      <c r="E107" s="12">
        <v>0</v>
      </c>
      <c r="F107" s="135" t="s">
        <v>372</v>
      </c>
      <c r="G107" s="16"/>
      <c r="H107" s="16"/>
      <c r="I107" s="16"/>
      <c r="J107" s="16"/>
      <c r="K107" s="16"/>
      <c r="L107" s="16"/>
      <c r="AS107"/>
      <c r="AT107"/>
      <c r="AU107"/>
      <c r="AV107"/>
      <c r="AW107"/>
      <c r="AX107"/>
    </row>
    <row r="108" spans="1:50" ht="28.5">
      <c r="A108" s="60" t="s">
        <v>27</v>
      </c>
      <c r="B108" s="17" t="s">
        <v>385</v>
      </c>
      <c r="C108" s="12">
        <v>0</v>
      </c>
      <c r="D108" s="12">
        <v>0</v>
      </c>
      <c r="E108" s="12">
        <v>0</v>
      </c>
      <c r="F108" s="135" t="s">
        <v>372</v>
      </c>
      <c r="G108" s="16"/>
      <c r="H108" s="16"/>
      <c r="I108" s="16"/>
      <c r="J108" s="16"/>
      <c r="K108" s="16"/>
      <c r="L108" s="16"/>
      <c r="AS108"/>
      <c r="AT108"/>
      <c r="AU108"/>
      <c r="AV108"/>
      <c r="AW108"/>
      <c r="AX108"/>
    </row>
    <row r="109" spans="1:50">
      <c r="A109" s="60" t="s">
        <v>27</v>
      </c>
      <c r="B109" s="17" t="s">
        <v>386</v>
      </c>
      <c r="C109" s="12">
        <v>0</v>
      </c>
      <c r="D109" s="12">
        <v>0</v>
      </c>
      <c r="E109" s="12">
        <v>0</v>
      </c>
      <c r="F109" s="135" t="s">
        <v>372</v>
      </c>
      <c r="G109" s="16"/>
      <c r="H109" s="16"/>
      <c r="I109" s="16"/>
      <c r="J109" s="16"/>
      <c r="K109" s="16"/>
      <c r="L109" s="16"/>
      <c r="AS109"/>
      <c r="AT109"/>
      <c r="AU109"/>
      <c r="AV109"/>
      <c r="AW109"/>
      <c r="AX109"/>
    </row>
    <row r="110" spans="1:50" ht="28.5">
      <c r="A110" s="60" t="s">
        <v>27</v>
      </c>
      <c r="B110" s="17" t="s">
        <v>392</v>
      </c>
      <c r="C110" s="12">
        <v>0</v>
      </c>
      <c r="D110" s="12">
        <v>0</v>
      </c>
      <c r="E110" s="12">
        <v>0</v>
      </c>
      <c r="F110" s="135" t="s">
        <v>372</v>
      </c>
      <c r="G110" s="16"/>
      <c r="H110" s="16"/>
      <c r="I110" s="16"/>
      <c r="J110" s="16"/>
      <c r="K110" s="16"/>
      <c r="L110" s="16"/>
      <c r="AS110"/>
      <c r="AT110"/>
      <c r="AU110"/>
      <c r="AV110"/>
      <c r="AW110"/>
      <c r="AX110"/>
    </row>
    <row r="111" spans="1:50">
      <c r="A111" s="60" t="s">
        <v>27</v>
      </c>
      <c r="B111" s="17" t="s">
        <v>394</v>
      </c>
      <c r="C111" s="12">
        <v>0</v>
      </c>
      <c r="D111" s="12">
        <v>0</v>
      </c>
      <c r="E111" s="12">
        <v>0</v>
      </c>
      <c r="F111" s="135" t="s">
        <v>372</v>
      </c>
      <c r="G111" s="16"/>
      <c r="H111" s="16"/>
      <c r="I111" s="16"/>
      <c r="J111" s="16"/>
      <c r="K111" s="16"/>
      <c r="L111" s="16"/>
      <c r="AS111"/>
      <c r="AT111"/>
      <c r="AU111"/>
      <c r="AV111"/>
      <c r="AW111"/>
      <c r="AX111"/>
    </row>
    <row r="112" spans="1:50">
      <c r="A112" s="60" t="s">
        <v>27</v>
      </c>
      <c r="B112" s="17" t="s">
        <v>396</v>
      </c>
      <c r="C112" s="12">
        <v>0</v>
      </c>
      <c r="D112" s="12">
        <v>2</v>
      </c>
      <c r="E112" s="12">
        <v>0</v>
      </c>
      <c r="F112" s="135" t="s">
        <v>372</v>
      </c>
      <c r="G112" s="16"/>
      <c r="H112" s="16"/>
      <c r="I112" s="16"/>
      <c r="J112" s="16"/>
      <c r="K112" s="16"/>
      <c r="L112" s="16"/>
      <c r="AS112"/>
      <c r="AT112"/>
      <c r="AU112"/>
      <c r="AV112"/>
      <c r="AW112"/>
      <c r="AX112"/>
    </row>
    <row r="113" spans="1:50" ht="29.25" thickBot="1">
      <c r="A113" s="75" t="s">
        <v>27</v>
      </c>
      <c r="B113" s="76" t="s">
        <v>397</v>
      </c>
      <c r="C113" s="77">
        <v>0</v>
      </c>
      <c r="D113" s="77">
        <v>2</v>
      </c>
      <c r="E113" s="77">
        <v>0</v>
      </c>
      <c r="F113" s="137" t="s">
        <v>372</v>
      </c>
      <c r="G113" s="16"/>
      <c r="H113" s="16"/>
      <c r="I113" s="16"/>
      <c r="J113" s="16"/>
      <c r="K113" s="16"/>
      <c r="L113" s="16"/>
      <c r="AS113"/>
      <c r="AT113"/>
      <c r="AU113"/>
      <c r="AV113"/>
      <c r="AW113"/>
      <c r="AX113"/>
    </row>
    <row r="114" spans="1:50">
      <c r="A114" s="79" t="s">
        <v>28</v>
      </c>
      <c r="B114" s="72" t="s">
        <v>399</v>
      </c>
      <c r="C114" s="19">
        <v>0</v>
      </c>
      <c r="D114" s="19">
        <v>0</v>
      </c>
      <c r="E114" s="19">
        <v>0</v>
      </c>
      <c r="F114" s="136" t="s">
        <v>372</v>
      </c>
      <c r="G114" s="16"/>
      <c r="H114" s="16"/>
      <c r="I114" s="16"/>
      <c r="J114" s="16"/>
      <c r="K114" s="16"/>
      <c r="L114" s="16"/>
      <c r="AS114"/>
      <c r="AT114"/>
      <c r="AU114"/>
      <c r="AV114"/>
      <c r="AW114"/>
      <c r="AX114"/>
    </row>
    <row r="115" spans="1:50" ht="28.5">
      <c r="A115" s="60" t="s">
        <v>28</v>
      </c>
      <c r="B115" s="17" t="s">
        <v>401</v>
      </c>
      <c r="C115" s="12">
        <v>0</v>
      </c>
      <c r="D115" s="12">
        <v>0</v>
      </c>
      <c r="E115" s="12">
        <v>0</v>
      </c>
      <c r="F115" s="135" t="s">
        <v>372</v>
      </c>
      <c r="G115" s="16"/>
      <c r="H115" s="16"/>
      <c r="I115" s="16"/>
      <c r="J115" s="16"/>
      <c r="K115" s="16"/>
      <c r="L115" s="16"/>
      <c r="AS115"/>
      <c r="AT115"/>
      <c r="AU115"/>
      <c r="AV115"/>
      <c r="AW115"/>
      <c r="AX115"/>
    </row>
    <row r="116" spans="1:50">
      <c r="A116" s="60" t="s">
        <v>28</v>
      </c>
      <c r="B116" s="17" t="s">
        <v>402</v>
      </c>
      <c r="C116" s="12">
        <v>0</v>
      </c>
      <c r="D116" s="12">
        <v>0</v>
      </c>
      <c r="E116" s="12">
        <v>0</v>
      </c>
      <c r="F116" s="135" t="s">
        <v>372</v>
      </c>
      <c r="G116" s="16"/>
      <c r="H116" s="16"/>
      <c r="I116" s="16"/>
      <c r="J116" s="16"/>
      <c r="K116" s="16"/>
      <c r="L116" s="16"/>
      <c r="AS116"/>
      <c r="AT116"/>
      <c r="AU116"/>
      <c r="AV116"/>
      <c r="AW116"/>
      <c r="AX116"/>
    </row>
    <row r="117" spans="1:50">
      <c r="A117" s="60" t="s">
        <v>28</v>
      </c>
      <c r="B117" s="12" t="s">
        <v>406</v>
      </c>
      <c r="C117" s="12">
        <v>0</v>
      </c>
      <c r="D117" s="12">
        <v>0</v>
      </c>
      <c r="E117" s="12">
        <v>0</v>
      </c>
      <c r="F117" s="135" t="s">
        <v>372</v>
      </c>
      <c r="G117" s="16"/>
      <c r="H117" s="16"/>
      <c r="I117" s="16"/>
      <c r="J117" s="16"/>
      <c r="K117" s="16"/>
      <c r="L117" s="16"/>
      <c r="AS117"/>
      <c r="AT117"/>
      <c r="AU117"/>
      <c r="AV117"/>
      <c r="AW117"/>
      <c r="AX117"/>
    </row>
    <row r="118" spans="1:50">
      <c r="A118" s="60" t="s">
        <v>28</v>
      </c>
      <c r="B118" s="12" t="s">
        <v>407</v>
      </c>
      <c r="C118" s="12">
        <v>0</v>
      </c>
      <c r="D118" s="12">
        <v>0</v>
      </c>
      <c r="E118" s="12">
        <v>0</v>
      </c>
      <c r="F118" s="97" t="s">
        <v>129</v>
      </c>
      <c r="G118" s="16"/>
      <c r="H118" s="16"/>
      <c r="I118" s="16"/>
      <c r="J118" s="16"/>
      <c r="K118" s="16"/>
      <c r="L118" s="16"/>
      <c r="AS118"/>
      <c r="AT118"/>
      <c r="AU118"/>
      <c r="AV118"/>
      <c r="AW118"/>
      <c r="AX118"/>
    </row>
    <row r="119" spans="1:50">
      <c r="A119" s="60" t="s">
        <v>28</v>
      </c>
      <c r="B119" s="12" t="s">
        <v>408</v>
      </c>
      <c r="C119" s="12">
        <v>0</v>
      </c>
      <c r="D119" s="12">
        <v>0</v>
      </c>
      <c r="E119" s="12">
        <v>0</v>
      </c>
      <c r="F119" s="138" t="s">
        <v>108</v>
      </c>
      <c r="G119" s="16"/>
      <c r="H119" s="16"/>
      <c r="I119" s="16"/>
      <c r="J119" s="16"/>
      <c r="K119" s="16"/>
      <c r="L119" s="16"/>
      <c r="AS119"/>
      <c r="AT119"/>
      <c r="AU119"/>
      <c r="AV119"/>
      <c r="AW119"/>
      <c r="AX119"/>
    </row>
    <row r="120" spans="1:50" ht="15.75" thickBot="1">
      <c r="A120" s="75" t="s">
        <v>28</v>
      </c>
      <c r="B120" s="77" t="s">
        <v>411</v>
      </c>
      <c r="C120" s="77">
        <v>0</v>
      </c>
      <c r="D120" s="77">
        <v>0</v>
      </c>
      <c r="E120" s="77">
        <v>0</v>
      </c>
      <c r="F120" s="137" t="s">
        <v>108</v>
      </c>
      <c r="G120" s="16"/>
      <c r="H120" s="16"/>
      <c r="I120" s="16"/>
      <c r="J120" s="16"/>
      <c r="K120" s="16"/>
      <c r="L120" s="16"/>
      <c r="AS120"/>
      <c r="AT120"/>
      <c r="AU120"/>
      <c r="AV120"/>
      <c r="AW120"/>
      <c r="AX120"/>
    </row>
    <row r="121" spans="1:50">
      <c r="A121" s="79" t="s">
        <v>29</v>
      </c>
      <c r="B121" s="72" t="s">
        <v>413</v>
      </c>
      <c r="C121" s="19">
        <v>0</v>
      </c>
      <c r="D121" s="19">
        <v>2</v>
      </c>
      <c r="E121" s="19">
        <v>0</v>
      </c>
      <c r="F121" s="136" t="s">
        <v>108</v>
      </c>
      <c r="G121" s="16"/>
      <c r="H121" s="16"/>
      <c r="I121" s="16"/>
      <c r="J121" s="16"/>
      <c r="K121" s="16"/>
      <c r="L121" s="16"/>
      <c r="AS121"/>
      <c r="AT121"/>
      <c r="AU121"/>
      <c r="AV121"/>
      <c r="AW121"/>
      <c r="AX121"/>
    </row>
    <row r="122" spans="1:50">
      <c r="A122" s="60" t="s">
        <v>29</v>
      </c>
      <c r="B122" s="17" t="s">
        <v>414</v>
      </c>
      <c r="C122" s="12">
        <v>1</v>
      </c>
      <c r="D122" s="12">
        <v>3</v>
      </c>
      <c r="E122" s="12">
        <v>0</v>
      </c>
      <c r="F122" s="135" t="s">
        <v>108</v>
      </c>
      <c r="G122" s="16"/>
      <c r="H122" s="16"/>
      <c r="I122" s="16"/>
      <c r="J122" s="16"/>
      <c r="K122" s="16"/>
      <c r="L122" s="16"/>
      <c r="AS122"/>
      <c r="AT122"/>
      <c r="AU122"/>
      <c r="AV122"/>
      <c r="AW122"/>
      <c r="AX122"/>
    </row>
    <row r="123" spans="1:50">
      <c r="A123" s="60" t="s">
        <v>29</v>
      </c>
      <c r="B123" s="12" t="s">
        <v>418</v>
      </c>
      <c r="C123" s="12">
        <v>0</v>
      </c>
      <c r="D123" s="12">
        <v>0</v>
      </c>
      <c r="E123" s="12">
        <v>0</v>
      </c>
      <c r="F123" s="135" t="s">
        <v>108</v>
      </c>
      <c r="G123" s="16"/>
      <c r="H123" s="16"/>
      <c r="I123" s="16"/>
      <c r="J123" s="16"/>
      <c r="K123" s="16"/>
      <c r="L123" s="16"/>
      <c r="AS123"/>
      <c r="AT123"/>
      <c r="AU123"/>
      <c r="AV123"/>
      <c r="AW123"/>
      <c r="AX123"/>
    </row>
    <row r="124" spans="1:50">
      <c r="A124" s="60" t="s">
        <v>29</v>
      </c>
      <c r="B124" s="139" t="s">
        <v>422</v>
      </c>
      <c r="C124" s="12">
        <v>0</v>
      </c>
      <c r="D124" s="12">
        <v>0</v>
      </c>
      <c r="E124" s="12">
        <v>0</v>
      </c>
      <c r="F124" s="135" t="s">
        <v>108</v>
      </c>
      <c r="G124" s="16"/>
      <c r="H124" s="16"/>
      <c r="I124" s="16"/>
      <c r="J124" s="16"/>
      <c r="K124" s="16"/>
      <c r="L124" s="16"/>
      <c r="AS124"/>
      <c r="AT124"/>
      <c r="AU124"/>
      <c r="AV124"/>
      <c r="AW124"/>
      <c r="AX124"/>
    </row>
    <row r="125" spans="1:50">
      <c r="A125" s="60" t="s">
        <v>29</v>
      </c>
      <c r="B125" s="139" t="s">
        <v>424</v>
      </c>
      <c r="C125" s="12">
        <v>0</v>
      </c>
      <c r="D125" s="12">
        <v>0</v>
      </c>
      <c r="E125" s="12">
        <v>0</v>
      </c>
      <c r="F125" s="135" t="s">
        <v>108</v>
      </c>
      <c r="G125" s="16"/>
      <c r="H125" s="16"/>
      <c r="I125" s="16"/>
      <c r="J125" s="16"/>
      <c r="K125" s="16"/>
      <c r="L125" s="16"/>
      <c r="AS125"/>
      <c r="AT125"/>
      <c r="AU125"/>
      <c r="AV125"/>
      <c r="AW125"/>
      <c r="AX125"/>
    </row>
    <row r="126" spans="1:50">
      <c r="A126" s="60" t="s">
        <v>29</v>
      </c>
      <c r="B126" s="140" t="s">
        <v>426</v>
      </c>
      <c r="C126" s="12">
        <v>0</v>
      </c>
      <c r="D126" s="12">
        <v>0</v>
      </c>
      <c r="E126" s="12">
        <v>0</v>
      </c>
      <c r="F126" s="135" t="s">
        <v>108</v>
      </c>
      <c r="G126" s="16"/>
      <c r="H126" s="16"/>
      <c r="I126" s="16"/>
      <c r="J126" s="16"/>
      <c r="K126" s="16"/>
      <c r="L126" s="16"/>
      <c r="AS126"/>
      <c r="AT126"/>
      <c r="AU126"/>
      <c r="AV126"/>
      <c r="AW126"/>
      <c r="AX126"/>
    </row>
    <row r="127" spans="1:50">
      <c r="A127" s="60" t="s">
        <v>29</v>
      </c>
      <c r="B127" s="12" t="s">
        <v>420</v>
      </c>
      <c r="C127" s="12">
        <v>0</v>
      </c>
      <c r="D127" s="12">
        <v>1</v>
      </c>
      <c r="E127" s="12">
        <v>1</v>
      </c>
      <c r="F127" s="135" t="s">
        <v>108</v>
      </c>
      <c r="G127" s="16"/>
      <c r="H127" s="16"/>
      <c r="I127" s="16"/>
      <c r="J127" s="16"/>
      <c r="K127" s="16"/>
      <c r="L127" s="16"/>
      <c r="AS127"/>
      <c r="AT127"/>
      <c r="AU127"/>
      <c r="AV127"/>
      <c r="AW127"/>
      <c r="AX127"/>
    </row>
    <row r="128" spans="1:50" ht="29.25" thickBot="1">
      <c r="A128" s="75" t="s">
        <v>29</v>
      </c>
      <c r="B128" s="76" t="s">
        <v>428</v>
      </c>
      <c r="C128" s="77">
        <v>1</v>
      </c>
      <c r="D128" s="77">
        <v>2</v>
      </c>
      <c r="E128" s="77">
        <v>0</v>
      </c>
      <c r="F128" s="137" t="s">
        <v>108</v>
      </c>
      <c r="G128" s="16"/>
      <c r="H128" s="16"/>
      <c r="I128" s="16"/>
      <c r="J128" s="16"/>
      <c r="K128" s="16"/>
      <c r="L128" s="16"/>
      <c r="AS128"/>
      <c r="AT128"/>
      <c r="AU128"/>
      <c r="AV128"/>
      <c r="AW128"/>
      <c r="AX128"/>
    </row>
    <row r="129" spans="1:50">
      <c r="A129" s="79" t="s">
        <v>31</v>
      </c>
      <c r="B129" s="19" t="s">
        <v>427</v>
      </c>
      <c r="C129" s="19">
        <v>0</v>
      </c>
      <c r="D129" s="19">
        <v>3</v>
      </c>
      <c r="E129" s="19">
        <v>0</v>
      </c>
      <c r="F129" s="136" t="s">
        <v>108</v>
      </c>
      <c r="G129" s="16"/>
      <c r="H129" s="16"/>
      <c r="I129" s="16"/>
      <c r="J129" s="16"/>
      <c r="K129" s="16"/>
      <c r="L129" s="16"/>
      <c r="AS129"/>
      <c r="AT129"/>
      <c r="AU129"/>
      <c r="AV129"/>
      <c r="AW129"/>
      <c r="AX129"/>
    </row>
    <row r="130" spans="1:50">
      <c r="A130" s="60" t="s">
        <v>31</v>
      </c>
      <c r="B130" s="12" t="s">
        <v>432</v>
      </c>
      <c r="C130" s="12">
        <v>0</v>
      </c>
      <c r="D130" s="12">
        <v>0</v>
      </c>
      <c r="E130" s="12">
        <v>0</v>
      </c>
      <c r="F130" s="135" t="s">
        <v>108</v>
      </c>
      <c r="G130" s="16"/>
      <c r="H130" s="16"/>
      <c r="I130" s="16"/>
      <c r="J130" s="16"/>
      <c r="K130" s="16"/>
      <c r="L130" s="16"/>
      <c r="AS130"/>
      <c r="AT130"/>
      <c r="AU130"/>
      <c r="AV130"/>
      <c r="AW130"/>
      <c r="AX130"/>
    </row>
    <row r="131" spans="1:50">
      <c r="A131" s="13" t="s">
        <v>31</v>
      </c>
      <c r="B131" s="49" t="s">
        <v>433</v>
      </c>
      <c r="C131" s="49">
        <v>0</v>
      </c>
      <c r="D131" s="49">
        <v>0</v>
      </c>
      <c r="E131" s="49">
        <v>0</v>
      </c>
      <c r="F131" s="141" t="s">
        <v>108</v>
      </c>
      <c r="G131" s="16"/>
      <c r="H131" s="16"/>
      <c r="I131" s="16"/>
      <c r="J131" s="16"/>
      <c r="K131" s="16"/>
      <c r="L131" s="16"/>
      <c r="AS131"/>
      <c r="AT131"/>
      <c r="AU131"/>
      <c r="AV131"/>
      <c r="AW131"/>
      <c r="AX131"/>
    </row>
    <row r="132" spans="1:50">
      <c r="A132" s="60" t="s">
        <v>31</v>
      </c>
      <c r="B132" s="17" t="s">
        <v>435</v>
      </c>
      <c r="C132" s="12">
        <v>0</v>
      </c>
      <c r="D132" s="12">
        <v>0</v>
      </c>
      <c r="E132" s="12">
        <v>0</v>
      </c>
      <c r="F132" s="135" t="s">
        <v>108</v>
      </c>
      <c r="G132" s="16"/>
      <c r="H132" s="16"/>
      <c r="I132" s="16"/>
      <c r="J132" s="16"/>
      <c r="K132" s="16"/>
      <c r="L132" s="16"/>
      <c r="AS132"/>
      <c r="AT132"/>
      <c r="AU132"/>
      <c r="AV132"/>
      <c r="AW132"/>
      <c r="AX132"/>
    </row>
    <row r="133" spans="1:50">
      <c r="A133" s="60" t="s">
        <v>31</v>
      </c>
      <c r="B133" s="17" t="s">
        <v>436</v>
      </c>
      <c r="C133" s="12">
        <v>0</v>
      </c>
      <c r="D133" s="12">
        <v>2</v>
      </c>
      <c r="E133" s="12">
        <v>0</v>
      </c>
      <c r="F133" s="97" t="s">
        <v>372</v>
      </c>
      <c r="G133" s="16"/>
      <c r="H133" s="16"/>
      <c r="I133" s="16"/>
      <c r="J133" s="16"/>
      <c r="K133" s="16"/>
      <c r="L133" s="16"/>
      <c r="AS133"/>
      <c r="AT133"/>
      <c r="AU133"/>
      <c r="AV133"/>
      <c r="AW133"/>
      <c r="AX133"/>
    </row>
    <row r="134" spans="1:50">
      <c r="A134" s="60" t="s">
        <v>31</v>
      </c>
      <c r="B134" s="17" t="s">
        <v>437</v>
      </c>
      <c r="C134" s="12">
        <v>0</v>
      </c>
      <c r="D134" s="12">
        <v>0</v>
      </c>
      <c r="E134" s="12">
        <v>0</v>
      </c>
      <c r="F134" s="135" t="s">
        <v>372</v>
      </c>
      <c r="G134" s="16"/>
      <c r="H134" s="16"/>
      <c r="I134" s="16"/>
      <c r="J134" s="16"/>
      <c r="K134" s="16"/>
      <c r="L134" s="16"/>
      <c r="AS134"/>
      <c r="AT134"/>
      <c r="AU134"/>
      <c r="AV134"/>
      <c r="AW134"/>
      <c r="AX134"/>
    </row>
    <row r="135" spans="1:50">
      <c r="A135" s="60" t="s">
        <v>31</v>
      </c>
      <c r="B135" s="17" t="s">
        <v>438</v>
      </c>
      <c r="C135" s="12">
        <v>0</v>
      </c>
      <c r="D135" s="12">
        <v>0</v>
      </c>
      <c r="E135" s="12">
        <v>0</v>
      </c>
      <c r="F135" s="135" t="s">
        <v>372</v>
      </c>
      <c r="G135" s="16"/>
      <c r="H135" s="16"/>
      <c r="I135" s="16"/>
      <c r="J135" s="16"/>
      <c r="K135" s="16"/>
      <c r="L135" s="16"/>
      <c r="AS135"/>
      <c r="AT135"/>
      <c r="AU135"/>
      <c r="AV135"/>
      <c r="AW135"/>
      <c r="AX135"/>
    </row>
    <row r="136" spans="1:50">
      <c r="A136" s="60" t="s">
        <v>31</v>
      </c>
      <c r="B136" s="17" t="s">
        <v>439</v>
      </c>
      <c r="C136" s="12">
        <v>0</v>
      </c>
      <c r="D136" s="12">
        <v>0</v>
      </c>
      <c r="E136" s="12">
        <v>0</v>
      </c>
      <c r="F136" s="135" t="s">
        <v>372</v>
      </c>
      <c r="G136" s="16"/>
      <c r="H136" s="16"/>
      <c r="I136" s="16"/>
      <c r="J136" s="16"/>
      <c r="K136" s="16"/>
      <c r="L136" s="16"/>
      <c r="AS136"/>
      <c r="AT136"/>
      <c r="AU136"/>
      <c r="AV136"/>
      <c r="AW136"/>
      <c r="AX136"/>
    </row>
    <row r="137" spans="1:50" ht="15.75" thickBot="1">
      <c r="A137" s="75" t="s">
        <v>31</v>
      </c>
      <c r="B137" s="76" t="s">
        <v>444</v>
      </c>
      <c r="C137" s="77">
        <v>0</v>
      </c>
      <c r="D137" s="77">
        <v>0</v>
      </c>
      <c r="E137" s="77">
        <v>0</v>
      </c>
      <c r="F137" s="137" t="s">
        <v>372</v>
      </c>
      <c r="G137" s="16"/>
      <c r="H137" s="16"/>
      <c r="I137" s="16"/>
      <c r="J137" s="16"/>
      <c r="K137" s="16"/>
      <c r="L137" s="16"/>
      <c r="AS137"/>
      <c r="AT137"/>
      <c r="AU137"/>
      <c r="AV137"/>
      <c r="AW137"/>
      <c r="AX137"/>
    </row>
    <row r="138" spans="1:50">
      <c r="A138" s="125" t="s">
        <v>32</v>
      </c>
      <c r="B138" s="143" t="s">
        <v>446</v>
      </c>
      <c r="C138" s="52">
        <v>0</v>
      </c>
      <c r="D138" s="52">
        <v>0</v>
      </c>
      <c r="E138" s="52">
        <v>0</v>
      </c>
      <c r="F138" s="145" t="s">
        <v>372</v>
      </c>
      <c r="G138" s="16"/>
      <c r="H138" s="16"/>
      <c r="I138" s="16"/>
      <c r="J138" s="16"/>
      <c r="K138" s="16"/>
      <c r="L138" s="16"/>
      <c r="AS138"/>
      <c r="AT138"/>
      <c r="AU138"/>
      <c r="AV138"/>
      <c r="AW138"/>
      <c r="AX138"/>
    </row>
    <row r="139" spans="1:50" ht="15.75" thickBot="1">
      <c r="A139" s="75" t="s">
        <v>32</v>
      </c>
      <c r="B139" s="76" t="s">
        <v>447</v>
      </c>
      <c r="C139" s="146">
        <v>0</v>
      </c>
      <c r="D139" s="146">
        <v>0</v>
      </c>
      <c r="E139" s="77">
        <v>0</v>
      </c>
      <c r="F139" s="137" t="s">
        <v>372</v>
      </c>
      <c r="G139" s="16"/>
      <c r="H139" s="16"/>
      <c r="I139" s="16"/>
      <c r="J139" s="16"/>
      <c r="K139" s="16"/>
      <c r="L139" s="16"/>
      <c r="AS139"/>
      <c r="AT139"/>
      <c r="AU139"/>
      <c r="AV139"/>
      <c r="AW139"/>
      <c r="AX139"/>
    </row>
    <row r="140" spans="1:50">
      <c r="A140" s="79" t="s">
        <v>33</v>
      </c>
      <c r="B140" s="72" t="s">
        <v>448</v>
      </c>
      <c r="C140" s="19">
        <v>0</v>
      </c>
      <c r="D140" s="19">
        <v>0</v>
      </c>
      <c r="E140" s="19">
        <v>0</v>
      </c>
      <c r="F140" s="136" t="s">
        <v>372</v>
      </c>
      <c r="G140" s="16"/>
      <c r="H140" s="16"/>
      <c r="I140" s="16"/>
      <c r="J140" s="16"/>
      <c r="K140" s="16"/>
      <c r="L140" s="16"/>
      <c r="AS140"/>
      <c r="AT140"/>
      <c r="AU140"/>
      <c r="AV140"/>
      <c r="AW140"/>
      <c r="AX140"/>
    </row>
    <row r="141" spans="1:50">
      <c r="A141" s="60" t="s">
        <v>33</v>
      </c>
      <c r="B141" s="17" t="s">
        <v>449</v>
      </c>
      <c r="C141" s="12">
        <v>0</v>
      </c>
      <c r="D141" s="12">
        <v>0</v>
      </c>
      <c r="E141" s="12">
        <v>0</v>
      </c>
      <c r="F141" s="135" t="s">
        <v>372</v>
      </c>
      <c r="G141" s="16"/>
      <c r="H141" s="16"/>
      <c r="I141" s="16"/>
      <c r="J141" s="16"/>
      <c r="K141" s="16"/>
      <c r="L141" s="16"/>
      <c r="AS141"/>
      <c r="AT141"/>
      <c r="AU141"/>
      <c r="AV141"/>
      <c r="AW141"/>
      <c r="AX141"/>
    </row>
    <row r="142" spans="1:50" ht="15.75" thickBot="1">
      <c r="A142" s="75" t="s">
        <v>33</v>
      </c>
      <c r="B142" s="76" t="s">
        <v>450</v>
      </c>
      <c r="C142" s="77">
        <v>0</v>
      </c>
      <c r="D142" s="77">
        <v>0</v>
      </c>
      <c r="E142" s="77">
        <v>0</v>
      </c>
      <c r="F142" s="137" t="s">
        <v>372</v>
      </c>
      <c r="G142" s="16"/>
      <c r="H142" s="16"/>
      <c r="I142" s="16"/>
      <c r="J142" s="16"/>
      <c r="K142" s="16"/>
      <c r="L142" s="16"/>
      <c r="AS142"/>
      <c r="AT142"/>
      <c r="AU142"/>
      <c r="AV142"/>
      <c r="AW142"/>
      <c r="AX142"/>
    </row>
    <row r="143" spans="1:50" ht="28.5">
      <c r="A143" s="79" t="s">
        <v>34</v>
      </c>
      <c r="B143" s="72" t="s">
        <v>456</v>
      </c>
      <c r="C143" s="19">
        <v>0</v>
      </c>
      <c r="D143" s="19">
        <v>0</v>
      </c>
      <c r="E143" s="19">
        <v>0</v>
      </c>
      <c r="F143" s="136" t="s">
        <v>372</v>
      </c>
      <c r="G143" s="16"/>
      <c r="H143" s="16"/>
      <c r="I143" s="16"/>
      <c r="J143" s="16"/>
      <c r="K143" s="16"/>
      <c r="L143" s="16"/>
      <c r="AS143"/>
      <c r="AT143"/>
      <c r="AU143"/>
      <c r="AV143"/>
      <c r="AW143"/>
      <c r="AX143"/>
    </row>
    <row r="144" spans="1:50">
      <c r="A144" s="60"/>
      <c r="B144" s="17"/>
      <c r="C144" s="12"/>
      <c r="D144" s="12"/>
      <c r="E144" s="12"/>
      <c r="F144" s="12"/>
      <c r="G144" s="16"/>
      <c r="H144" s="16"/>
      <c r="I144" s="16"/>
      <c r="J144" s="16"/>
      <c r="K144" s="16"/>
      <c r="L144" s="16"/>
      <c r="AS144"/>
      <c r="AT144"/>
      <c r="AU144"/>
      <c r="AV144"/>
      <c r="AW144"/>
      <c r="AX144"/>
    </row>
    <row r="145" spans="1:50">
      <c r="A145" s="60"/>
      <c r="B145" s="17"/>
      <c r="C145" s="12"/>
      <c r="D145" s="12"/>
      <c r="E145" s="12"/>
      <c r="F145" s="12"/>
      <c r="G145" s="16"/>
      <c r="H145" s="16"/>
      <c r="I145" s="16"/>
      <c r="J145" s="16"/>
      <c r="K145" s="16"/>
      <c r="L145" s="16"/>
      <c r="AS145"/>
      <c r="AT145"/>
      <c r="AU145"/>
      <c r="AV145"/>
      <c r="AW145"/>
      <c r="AX145"/>
    </row>
    <row r="146" spans="1:50">
      <c r="A146" s="60"/>
      <c r="B146" s="17"/>
      <c r="C146" s="12"/>
      <c r="D146" s="12"/>
      <c r="E146" s="12"/>
      <c r="F146" s="12"/>
      <c r="G146" s="16"/>
      <c r="H146" s="16"/>
      <c r="I146" s="16"/>
      <c r="J146" s="16"/>
      <c r="K146" s="16"/>
      <c r="L146" s="16"/>
      <c r="AS146"/>
      <c r="AT146"/>
      <c r="AU146"/>
      <c r="AV146"/>
      <c r="AW146"/>
      <c r="AX146"/>
    </row>
    <row r="147" spans="1:50">
      <c r="A147" s="60"/>
      <c r="B147" s="17"/>
      <c r="C147" s="12"/>
      <c r="D147" s="12"/>
      <c r="E147" s="12"/>
      <c r="F147" s="12"/>
      <c r="G147" s="16"/>
      <c r="H147" s="16"/>
      <c r="I147" s="16"/>
      <c r="J147" s="16"/>
      <c r="K147" s="16"/>
      <c r="L147" s="16"/>
      <c r="AS147"/>
      <c r="AT147"/>
      <c r="AU147"/>
      <c r="AV147"/>
      <c r="AW147"/>
      <c r="AX147"/>
    </row>
    <row r="148" spans="1:50">
      <c r="A148" s="60"/>
      <c r="B148" s="17"/>
      <c r="C148" s="12"/>
      <c r="D148" s="12"/>
      <c r="E148" s="12"/>
      <c r="F148" s="12"/>
      <c r="G148" s="16"/>
      <c r="H148" s="16"/>
      <c r="I148" s="16"/>
      <c r="J148" s="16"/>
      <c r="K148" s="16"/>
      <c r="L148" s="16"/>
      <c r="AS148"/>
      <c r="AT148"/>
      <c r="AU148"/>
      <c r="AV148"/>
      <c r="AW148"/>
      <c r="AX148"/>
    </row>
    <row r="149" spans="1:50">
      <c r="A149" s="60"/>
      <c r="B149" s="17"/>
      <c r="C149" s="12"/>
      <c r="D149" s="12"/>
      <c r="E149" s="12"/>
      <c r="F149" s="12"/>
      <c r="G149" s="16"/>
      <c r="H149" s="16"/>
      <c r="I149" s="16"/>
      <c r="J149" s="16"/>
      <c r="K149" s="16"/>
      <c r="L149" s="16"/>
      <c r="AS149"/>
      <c r="AT149"/>
      <c r="AU149"/>
      <c r="AV149"/>
      <c r="AW149"/>
      <c r="AX149"/>
    </row>
    <row r="150" spans="1:50">
      <c r="A150" s="60"/>
      <c r="B150" s="17"/>
      <c r="C150" s="12"/>
      <c r="D150" s="12"/>
      <c r="E150" s="12"/>
      <c r="F150" s="12"/>
      <c r="G150" s="16"/>
      <c r="H150" s="16"/>
      <c r="I150" s="16"/>
      <c r="J150" s="16"/>
      <c r="K150" s="16"/>
      <c r="L150" s="16"/>
      <c r="AS150"/>
      <c r="AT150"/>
      <c r="AU150"/>
      <c r="AV150"/>
      <c r="AW150"/>
      <c r="AX150"/>
    </row>
    <row r="151" spans="1:50">
      <c r="A151" s="60"/>
      <c r="B151" s="17"/>
      <c r="C151" s="12"/>
      <c r="D151" s="12"/>
      <c r="E151" s="12"/>
      <c r="F151" s="12"/>
      <c r="G151" s="16"/>
      <c r="H151" s="16"/>
      <c r="I151" s="16"/>
      <c r="J151" s="16"/>
      <c r="K151" s="16"/>
      <c r="L151" s="16"/>
      <c r="AS151"/>
      <c r="AT151"/>
      <c r="AU151"/>
      <c r="AV151"/>
      <c r="AW151"/>
      <c r="AX151"/>
    </row>
    <row r="152" spans="1:50">
      <c r="A152" s="60"/>
      <c r="B152" s="17"/>
      <c r="C152" s="12"/>
      <c r="D152" s="12"/>
      <c r="E152" s="12"/>
      <c r="F152" s="12"/>
      <c r="G152" s="16"/>
      <c r="H152" s="16"/>
      <c r="I152" s="16"/>
      <c r="J152" s="16"/>
      <c r="K152" s="16"/>
      <c r="L152" s="16"/>
      <c r="AS152"/>
      <c r="AT152"/>
      <c r="AU152"/>
      <c r="AV152"/>
      <c r="AW152"/>
      <c r="AX152"/>
    </row>
    <row r="153" spans="1:50">
      <c r="A153" s="60"/>
      <c r="B153" s="17"/>
      <c r="C153" s="12"/>
      <c r="D153" s="12"/>
      <c r="E153" s="12"/>
      <c r="F153" s="12"/>
      <c r="G153" s="16"/>
      <c r="H153" s="16"/>
      <c r="I153" s="16"/>
      <c r="J153" s="16"/>
      <c r="K153" s="16"/>
      <c r="L153" s="16"/>
      <c r="AS153"/>
      <c r="AT153"/>
      <c r="AU153"/>
      <c r="AV153"/>
      <c r="AW153"/>
      <c r="AX153"/>
    </row>
    <row r="154" spans="1:50">
      <c r="A154" s="60"/>
      <c r="B154" s="17"/>
      <c r="C154" s="12"/>
      <c r="D154" s="12"/>
      <c r="E154" s="12"/>
      <c r="F154" s="12"/>
      <c r="G154" s="16"/>
      <c r="H154" s="16"/>
      <c r="I154" s="16"/>
      <c r="J154" s="16"/>
      <c r="K154" s="16"/>
      <c r="L154" s="16"/>
      <c r="AS154"/>
      <c r="AT154"/>
      <c r="AU154"/>
      <c r="AV154"/>
      <c r="AW154"/>
      <c r="AX154"/>
    </row>
    <row r="155" spans="1:50">
      <c r="A155" s="60"/>
      <c r="B155" s="17"/>
      <c r="C155" s="12"/>
      <c r="D155" s="12"/>
      <c r="E155" s="12"/>
      <c r="F155" s="12"/>
      <c r="G155" s="16"/>
      <c r="H155" s="16"/>
      <c r="I155" s="16"/>
      <c r="J155" s="16"/>
      <c r="K155" s="16"/>
      <c r="L155" s="16"/>
      <c r="AS155"/>
      <c r="AT155"/>
      <c r="AU155"/>
      <c r="AV155"/>
      <c r="AW155"/>
      <c r="AX155"/>
    </row>
    <row r="156" spans="1:50">
      <c r="A156" s="60"/>
      <c r="B156" s="17"/>
      <c r="C156" s="12"/>
      <c r="D156" s="12"/>
      <c r="E156" s="12"/>
      <c r="F156" s="12"/>
      <c r="G156" s="16"/>
      <c r="H156" s="16"/>
      <c r="I156" s="16"/>
      <c r="J156" s="16"/>
      <c r="K156" s="16"/>
      <c r="L156" s="16"/>
      <c r="AS156"/>
      <c r="AT156"/>
      <c r="AU156"/>
      <c r="AV156"/>
      <c r="AW156"/>
      <c r="AX156"/>
    </row>
    <row r="157" spans="1:50">
      <c r="A157" s="60"/>
      <c r="B157" s="17"/>
      <c r="C157" s="12"/>
      <c r="D157" s="12"/>
      <c r="E157" s="12"/>
      <c r="F157" s="12"/>
      <c r="G157" s="16"/>
      <c r="H157" s="16"/>
      <c r="I157" s="16"/>
      <c r="J157" s="16"/>
      <c r="K157" s="16"/>
      <c r="L157" s="16"/>
      <c r="AS157"/>
      <c r="AT157"/>
      <c r="AU157"/>
      <c r="AV157"/>
      <c r="AW157"/>
      <c r="AX157"/>
    </row>
    <row r="158" spans="1:50">
      <c r="A158" s="60"/>
      <c r="B158" s="17"/>
      <c r="C158" s="12"/>
      <c r="D158" s="12"/>
      <c r="E158" s="12"/>
      <c r="F158" s="12"/>
      <c r="G158" s="16"/>
      <c r="H158" s="16"/>
      <c r="I158" s="16"/>
      <c r="J158" s="16"/>
      <c r="K158" s="16"/>
      <c r="L158" s="16"/>
      <c r="AS158"/>
      <c r="AT158"/>
      <c r="AU158"/>
      <c r="AV158"/>
      <c r="AW158"/>
      <c r="AX158"/>
    </row>
    <row r="159" spans="1:50">
      <c r="A159" s="60"/>
      <c r="B159" s="17"/>
      <c r="C159" s="12"/>
      <c r="D159" s="12"/>
      <c r="E159" s="12"/>
      <c r="F159" s="12"/>
      <c r="G159" s="16"/>
      <c r="H159" s="16"/>
      <c r="I159" s="16"/>
      <c r="J159" s="16"/>
      <c r="K159" s="16"/>
      <c r="L159" s="16"/>
      <c r="AS159"/>
      <c r="AT159"/>
      <c r="AU159"/>
      <c r="AV159"/>
      <c r="AW159"/>
      <c r="AX159"/>
    </row>
    <row r="160" spans="1:50">
      <c r="A160" s="60"/>
      <c r="B160" s="17"/>
      <c r="C160" s="12"/>
      <c r="D160" s="12"/>
      <c r="E160" s="12"/>
      <c r="F160" s="12"/>
      <c r="G160" s="16"/>
      <c r="H160" s="16"/>
      <c r="I160" s="16"/>
      <c r="J160" s="16"/>
      <c r="K160" s="16"/>
      <c r="L160" s="16"/>
      <c r="AS160"/>
      <c r="AT160"/>
      <c r="AU160"/>
      <c r="AV160"/>
      <c r="AW160"/>
      <c r="AX160"/>
    </row>
    <row r="161" spans="1:50">
      <c r="A161" s="60"/>
      <c r="B161" s="17"/>
      <c r="C161" s="12"/>
      <c r="D161" s="12"/>
      <c r="E161" s="12"/>
      <c r="F161" s="12"/>
      <c r="G161" s="16"/>
      <c r="H161" s="16"/>
      <c r="I161" s="16"/>
      <c r="J161" s="16"/>
      <c r="K161" s="16"/>
      <c r="L161" s="16"/>
      <c r="AS161"/>
      <c r="AT161"/>
      <c r="AU161"/>
      <c r="AV161"/>
      <c r="AW161"/>
      <c r="AX161"/>
    </row>
    <row r="162" spans="1:50">
      <c r="A162" s="60"/>
      <c r="B162" s="17"/>
      <c r="C162" s="12"/>
      <c r="D162" s="12"/>
      <c r="E162" s="12"/>
      <c r="F162" s="12"/>
      <c r="G162" s="16"/>
      <c r="H162" s="16"/>
      <c r="I162" s="16"/>
      <c r="J162" s="16"/>
      <c r="K162" s="16"/>
      <c r="L162" s="16"/>
      <c r="AS162"/>
      <c r="AT162"/>
      <c r="AU162"/>
      <c r="AV162"/>
      <c r="AW162"/>
      <c r="AX162"/>
    </row>
    <row r="163" spans="1:50">
      <c r="A163" s="60"/>
      <c r="B163" s="17"/>
      <c r="C163" s="12"/>
      <c r="D163" s="12"/>
      <c r="E163" s="12"/>
      <c r="F163" s="12"/>
      <c r="G163" s="16"/>
      <c r="H163" s="16"/>
      <c r="I163" s="16"/>
      <c r="J163" s="16"/>
      <c r="K163" s="16"/>
      <c r="L163" s="16"/>
      <c r="AS163"/>
      <c r="AT163"/>
      <c r="AU163"/>
      <c r="AV163"/>
      <c r="AW163"/>
      <c r="AX163"/>
    </row>
    <row r="164" spans="1:50">
      <c r="A164" s="60"/>
      <c r="B164" s="17"/>
      <c r="C164" s="12"/>
      <c r="D164" s="12"/>
      <c r="E164" s="12"/>
      <c r="F164" s="12"/>
      <c r="G164" s="16"/>
      <c r="H164" s="16"/>
      <c r="I164" s="16"/>
      <c r="J164" s="16"/>
      <c r="K164" s="16"/>
      <c r="L164" s="16"/>
      <c r="AS164"/>
      <c r="AT164"/>
      <c r="AU164"/>
      <c r="AV164"/>
      <c r="AW164"/>
      <c r="AX164"/>
    </row>
    <row r="165" spans="1:50">
      <c r="A165" s="60"/>
      <c r="B165" s="17"/>
      <c r="C165" s="12"/>
      <c r="D165" s="12"/>
      <c r="E165" s="12"/>
      <c r="F165" s="12"/>
      <c r="G165" s="16"/>
      <c r="H165" s="16"/>
      <c r="I165" s="16"/>
      <c r="J165" s="16"/>
      <c r="K165" s="16"/>
      <c r="L165" s="16"/>
      <c r="AS165"/>
      <c r="AT165"/>
      <c r="AU165"/>
      <c r="AV165"/>
      <c r="AW165"/>
      <c r="AX165"/>
    </row>
    <row r="166" spans="1:50">
      <c r="A166" s="60"/>
      <c r="B166" s="17"/>
      <c r="C166" s="12"/>
      <c r="D166" s="12"/>
      <c r="E166" s="12"/>
      <c r="F166" s="12"/>
      <c r="G166" s="16"/>
      <c r="H166" s="16"/>
      <c r="I166" s="16"/>
      <c r="J166" s="16"/>
      <c r="K166" s="16"/>
      <c r="L166" s="16"/>
      <c r="AS166"/>
      <c r="AT166"/>
      <c r="AU166"/>
      <c r="AV166"/>
      <c r="AW166"/>
      <c r="AX166"/>
    </row>
    <row r="167" spans="1:50">
      <c r="A167" s="60"/>
      <c r="B167" s="17"/>
      <c r="C167" s="12"/>
      <c r="D167" s="12"/>
      <c r="E167" s="12"/>
      <c r="F167" s="12"/>
      <c r="G167" s="16"/>
      <c r="H167" s="16"/>
      <c r="I167" s="16"/>
      <c r="J167" s="16"/>
      <c r="K167" s="16"/>
      <c r="L167" s="16"/>
      <c r="AS167"/>
      <c r="AT167"/>
      <c r="AU167"/>
      <c r="AV167"/>
      <c r="AW167"/>
      <c r="AX167"/>
    </row>
    <row r="168" spans="1:50">
      <c r="A168" s="60"/>
      <c r="B168" s="17"/>
      <c r="C168" s="12"/>
      <c r="D168" s="12"/>
      <c r="E168" s="12"/>
      <c r="F168" s="12"/>
      <c r="G168" s="16"/>
      <c r="H168" s="16"/>
      <c r="I168" s="16"/>
      <c r="J168" s="16"/>
      <c r="K168" s="16"/>
      <c r="L168" s="16"/>
      <c r="AS168"/>
      <c r="AT168"/>
      <c r="AU168"/>
      <c r="AV168"/>
      <c r="AW168"/>
      <c r="AX168"/>
    </row>
    <row r="169" spans="1:50">
      <c r="A169" s="60"/>
      <c r="B169" s="17"/>
      <c r="C169" s="12"/>
      <c r="D169" s="12"/>
      <c r="E169" s="12"/>
      <c r="F169" s="12"/>
      <c r="G169" s="16"/>
      <c r="H169" s="16"/>
      <c r="I169" s="16"/>
      <c r="J169" s="16"/>
      <c r="K169" s="16"/>
      <c r="L169" s="16"/>
      <c r="AS169"/>
      <c r="AT169"/>
      <c r="AU169"/>
      <c r="AV169"/>
      <c r="AW169"/>
      <c r="AX169"/>
    </row>
    <row r="170" spans="1:50">
      <c r="A170" s="60"/>
      <c r="B170" s="17"/>
      <c r="C170" s="12"/>
      <c r="D170" s="12"/>
      <c r="E170" s="12"/>
      <c r="F170" s="12"/>
      <c r="G170" s="16"/>
      <c r="H170" s="16"/>
      <c r="I170" s="16"/>
      <c r="J170" s="16"/>
      <c r="K170" s="16"/>
      <c r="L170" s="16"/>
      <c r="AS170"/>
      <c r="AT170"/>
      <c r="AU170"/>
      <c r="AV170"/>
      <c r="AW170"/>
      <c r="AX170"/>
    </row>
    <row r="171" spans="1:50">
      <c r="A171" s="118"/>
      <c r="B171" s="117"/>
      <c r="C171" s="117"/>
      <c r="D171" s="117"/>
      <c r="E171" s="117"/>
      <c r="F171" s="117"/>
      <c r="G171" s="16"/>
      <c r="H171" s="16"/>
      <c r="I171" s="16"/>
      <c r="J171" s="16"/>
      <c r="K171" s="16"/>
      <c r="L171" s="16"/>
      <c r="AS171"/>
      <c r="AT171"/>
      <c r="AU171"/>
      <c r="AV171"/>
      <c r="AW171"/>
      <c r="AX171"/>
    </row>
    <row r="172" spans="1:50">
      <c r="A172" s="79"/>
      <c r="B172" s="12"/>
      <c r="C172" s="12"/>
      <c r="D172" s="12"/>
      <c r="E172" s="12"/>
      <c r="F172" s="19"/>
      <c r="G172" s="16"/>
      <c r="H172" s="16"/>
      <c r="I172" s="16"/>
      <c r="J172" s="16"/>
      <c r="K172" s="16"/>
      <c r="L172" s="16"/>
      <c r="AS172"/>
      <c r="AT172"/>
      <c r="AU172"/>
      <c r="AV172"/>
      <c r="AW172"/>
      <c r="AX172"/>
    </row>
    <row r="173" spans="1:50">
      <c r="A173" s="79"/>
      <c r="B173" s="12"/>
      <c r="C173" s="12"/>
      <c r="D173" s="12"/>
      <c r="E173" s="12"/>
      <c r="F173" s="19"/>
      <c r="G173" s="16"/>
      <c r="H173" s="16"/>
      <c r="I173" s="16"/>
      <c r="J173" s="16"/>
      <c r="K173" s="16"/>
      <c r="L173" s="16"/>
      <c r="AS173"/>
      <c r="AT173"/>
      <c r="AU173"/>
      <c r="AV173"/>
      <c r="AW173"/>
      <c r="AX173"/>
    </row>
    <row r="174" spans="1:50">
      <c r="A174" s="79"/>
      <c r="B174" s="12"/>
      <c r="C174" s="12"/>
      <c r="D174" s="12"/>
      <c r="E174" s="12"/>
      <c r="F174" s="19"/>
      <c r="G174" s="16"/>
      <c r="H174" s="16"/>
      <c r="I174" s="16"/>
      <c r="J174" s="16"/>
      <c r="K174" s="16"/>
      <c r="L174" s="16"/>
      <c r="AS174"/>
      <c r="AT174"/>
      <c r="AU174"/>
      <c r="AV174"/>
      <c r="AW174"/>
      <c r="AX174"/>
    </row>
    <row r="175" spans="1:50">
      <c r="A175" s="79"/>
      <c r="B175" s="12"/>
      <c r="C175" s="12"/>
      <c r="D175" s="12"/>
      <c r="E175" s="12"/>
      <c r="F175" s="19"/>
      <c r="G175" s="16"/>
      <c r="H175" s="16"/>
      <c r="I175" s="16"/>
      <c r="J175" s="16"/>
      <c r="K175" s="16"/>
      <c r="L175" s="16"/>
      <c r="AS175"/>
      <c r="AT175"/>
      <c r="AU175"/>
      <c r="AV175"/>
      <c r="AW175"/>
      <c r="AX175"/>
    </row>
    <row r="176" spans="1:50">
      <c r="A176" s="79"/>
      <c r="B176" s="12"/>
      <c r="C176" s="12"/>
      <c r="D176" s="12"/>
      <c r="E176" s="12"/>
      <c r="F176" s="19"/>
      <c r="G176" s="16"/>
      <c r="H176" s="16"/>
      <c r="I176" s="16"/>
      <c r="J176" s="16"/>
      <c r="K176" s="16"/>
      <c r="L176" s="16"/>
      <c r="AS176"/>
      <c r="AT176"/>
      <c r="AU176"/>
      <c r="AV176"/>
      <c r="AW176"/>
      <c r="AX176"/>
    </row>
    <row r="177" spans="1:50">
      <c r="A177" s="79"/>
      <c r="B177" s="12"/>
      <c r="C177" s="12"/>
      <c r="D177" s="12"/>
      <c r="E177" s="12"/>
      <c r="F177" s="19"/>
      <c r="G177" s="16"/>
      <c r="H177" s="16"/>
      <c r="I177" s="16"/>
      <c r="J177" s="16"/>
      <c r="K177" s="16"/>
      <c r="L177" s="16"/>
      <c r="AS177"/>
      <c r="AT177"/>
      <c r="AU177"/>
      <c r="AV177"/>
      <c r="AW177"/>
      <c r="AX177"/>
    </row>
    <row r="178" spans="1:50">
      <c r="A178" s="79"/>
      <c r="B178" s="12"/>
      <c r="C178" s="12"/>
      <c r="D178" s="12"/>
      <c r="E178" s="12"/>
      <c r="F178" s="19"/>
      <c r="G178" s="16"/>
      <c r="H178" s="16"/>
      <c r="I178" s="16"/>
      <c r="J178" s="16"/>
      <c r="K178" s="16"/>
      <c r="L178" s="16"/>
      <c r="AS178"/>
      <c r="AT178"/>
      <c r="AU178"/>
      <c r="AV178"/>
      <c r="AW178"/>
      <c r="AX178"/>
    </row>
    <row r="179" spans="1:50">
      <c r="A179" s="79"/>
      <c r="B179" s="12"/>
      <c r="C179" s="12"/>
      <c r="D179" s="12"/>
      <c r="E179" s="12"/>
      <c r="F179" s="19"/>
      <c r="G179" s="16"/>
      <c r="H179" s="16"/>
      <c r="I179" s="16"/>
      <c r="J179" s="16"/>
      <c r="K179" s="16"/>
      <c r="L179" s="16"/>
      <c r="AS179"/>
      <c r="AT179"/>
      <c r="AU179"/>
      <c r="AV179"/>
      <c r="AW179"/>
      <c r="AX179"/>
    </row>
    <row r="180" spans="1:50">
      <c r="A180" s="79"/>
      <c r="B180" s="17"/>
      <c r="C180" s="12"/>
      <c r="D180" s="12"/>
      <c r="E180" s="12"/>
      <c r="F180" s="19"/>
      <c r="G180" s="16"/>
      <c r="H180" s="16"/>
      <c r="I180" s="16"/>
      <c r="J180" s="16"/>
      <c r="K180" s="16"/>
      <c r="L180" s="16"/>
      <c r="AS180"/>
      <c r="AT180"/>
      <c r="AU180"/>
      <c r="AV180"/>
      <c r="AW180"/>
      <c r="AX180"/>
    </row>
    <row r="181" spans="1:50">
      <c r="A181" s="79"/>
      <c r="B181" s="17"/>
      <c r="C181" s="12"/>
      <c r="D181" s="12"/>
      <c r="E181" s="12"/>
      <c r="F181" s="19"/>
      <c r="G181" s="16"/>
      <c r="H181" s="16"/>
      <c r="I181" s="16"/>
      <c r="J181" s="16"/>
      <c r="K181" s="16"/>
      <c r="L181" s="16"/>
      <c r="AS181"/>
      <c r="AT181"/>
      <c r="AU181"/>
      <c r="AV181"/>
      <c r="AW181"/>
      <c r="AX181"/>
    </row>
    <row r="182" spans="1:50">
      <c r="G182" s="16"/>
      <c r="H182" s="16"/>
      <c r="I182" s="16"/>
      <c r="J182" s="16"/>
      <c r="K182" s="16"/>
      <c r="L182" s="16"/>
      <c r="AS182"/>
      <c r="AT182"/>
      <c r="AU182"/>
      <c r="AV182"/>
      <c r="AW182"/>
      <c r="AX182"/>
    </row>
    <row r="183" spans="1:50">
      <c r="G183" s="16"/>
      <c r="H183" s="16"/>
      <c r="I183" s="16"/>
      <c r="J183" s="16"/>
      <c r="K183" s="16"/>
      <c r="L183" s="16"/>
      <c r="AS183"/>
      <c r="AT183"/>
      <c r="AU183"/>
      <c r="AV183"/>
      <c r="AW183"/>
      <c r="AX183"/>
    </row>
    <row r="184" spans="1:50">
      <c r="G184" s="16"/>
      <c r="H184" s="16"/>
      <c r="I184" s="16"/>
      <c r="J184" s="16"/>
      <c r="K184" s="16"/>
      <c r="L184" s="16"/>
      <c r="AS184"/>
      <c r="AT184"/>
      <c r="AU184"/>
      <c r="AV184"/>
      <c r="AW184"/>
      <c r="AX184"/>
    </row>
    <row r="185" spans="1:50">
      <c r="G185" s="16"/>
      <c r="H185" s="16"/>
      <c r="I185" s="16"/>
      <c r="J185" s="16"/>
      <c r="K185" s="16"/>
      <c r="L185" s="16"/>
      <c r="AS185"/>
      <c r="AT185"/>
      <c r="AU185"/>
      <c r="AV185"/>
      <c r="AW185"/>
      <c r="AX185"/>
    </row>
    <row r="186" spans="1:50">
      <c r="G186" s="16"/>
      <c r="H186" s="16"/>
      <c r="I186" s="16"/>
      <c r="J186" s="16"/>
      <c r="K186" s="16"/>
      <c r="L186" s="16"/>
      <c r="AS186"/>
      <c r="AT186"/>
      <c r="AU186"/>
      <c r="AV186"/>
      <c r="AW186"/>
      <c r="AX186"/>
    </row>
    <row r="187" spans="1:50">
      <c r="G187" s="16"/>
      <c r="H187" s="16"/>
      <c r="I187" s="16"/>
      <c r="J187" s="16"/>
      <c r="K187" s="16"/>
      <c r="L187" s="16"/>
      <c r="AS187"/>
      <c r="AT187"/>
      <c r="AU187"/>
      <c r="AV187"/>
      <c r="AW187"/>
      <c r="AX187"/>
    </row>
    <row r="188" spans="1:50">
      <c r="G188" s="16"/>
      <c r="H188" s="16"/>
      <c r="I188" s="16"/>
      <c r="J188" s="16"/>
      <c r="K188" s="16"/>
      <c r="L188" s="16"/>
      <c r="AS188"/>
      <c r="AT188"/>
      <c r="AU188"/>
      <c r="AV188"/>
      <c r="AW188"/>
      <c r="AX188"/>
    </row>
    <row r="189" spans="1:50">
      <c r="G189" s="16"/>
      <c r="H189" s="16"/>
      <c r="I189" s="16"/>
      <c r="J189" s="16"/>
      <c r="K189" s="16"/>
      <c r="L189" s="16"/>
      <c r="AS189"/>
      <c r="AT189"/>
      <c r="AU189"/>
      <c r="AV189"/>
      <c r="AW189"/>
      <c r="AX189"/>
    </row>
    <row r="190" spans="1:50">
      <c r="G190" s="16"/>
      <c r="H190" s="16"/>
      <c r="I190" s="16"/>
      <c r="J190" s="16"/>
      <c r="K190" s="16"/>
      <c r="L190" s="16"/>
      <c r="AS190"/>
      <c r="AT190"/>
      <c r="AU190"/>
      <c r="AV190"/>
      <c r="AW190"/>
      <c r="AX190"/>
    </row>
    <row r="191" spans="1:50">
      <c r="G191" s="16"/>
      <c r="H191" s="16"/>
      <c r="I191" s="16"/>
      <c r="J191" s="16"/>
      <c r="K191" s="16"/>
      <c r="L191" s="16"/>
      <c r="AS191"/>
      <c r="AT191"/>
      <c r="AU191"/>
      <c r="AV191"/>
      <c r="AW191"/>
      <c r="AX191"/>
    </row>
    <row r="192" spans="1:50">
      <c r="G192" s="16"/>
      <c r="H192" s="16"/>
      <c r="I192" s="16"/>
      <c r="J192" s="16"/>
      <c r="K192" s="16"/>
      <c r="L192" s="16"/>
      <c r="AS192"/>
      <c r="AT192"/>
      <c r="AU192"/>
      <c r="AV192"/>
      <c r="AW192"/>
      <c r="AX192"/>
    </row>
    <row r="193" spans="1:50">
      <c r="G193" s="16"/>
      <c r="H193" s="16"/>
      <c r="I193" s="16"/>
      <c r="J193" s="16"/>
      <c r="K193" s="16"/>
      <c r="L193" s="16"/>
      <c r="AS193"/>
      <c r="AT193"/>
      <c r="AU193"/>
      <c r="AV193"/>
      <c r="AW193"/>
      <c r="AX193"/>
    </row>
    <row r="194" spans="1:50">
      <c r="G194" s="16"/>
      <c r="H194" s="16"/>
      <c r="I194" s="16"/>
      <c r="J194" s="16"/>
      <c r="K194" s="16"/>
      <c r="L194" s="16"/>
      <c r="AS194"/>
      <c r="AT194"/>
      <c r="AU194"/>
      <c r="AV194"/>
      <c r="AW194"/>
      <c r="AX194"/>
    </row>
    <row r="195" spans="1:50">
      <c r="G195" s="16"/>
      <c r="H195" s="16"/>
      <c r="I195" s="16"/>
      <c r="J195" s="16"/>
      <c r="K195" s="16"/>
      <c r="L195" s="16"/>
      <c r="AS195"/>
      <c r="AT195"/>
      <c r="AU195"/>
      <c r="AV195"/>
      <c r="AW195"/>
      <c r="AX195"/>
    </row>
    <row r="196" spans="1:50">
      <c r="A196"/>
      <c r="B196"/>
      <c r="C196"/>
      <c r="D196"/>
      <c r="E196"/>
      <c r="F196"/>
      <c r="G196" s="16"/>
      <c r="H196" s="16"/>
      <c r="I196" s="16"/>
      <c r="J196" s="16"/>
      <c r="K196" s="16"/>
      <c r="L196" s="16"/>
      <c r="AS196"/>
      <c r="AT196"/>
      <c r="AU196"/>
      <c r="AV196"/>
      <c r="AW196"/>
      <c r="AX196"/>
    </row>
    <row r="197" spans="1:50">
      <c r="A197"/>
      <c r="B197"/>
      <c r="C197"/>
      <c r="D197"/>
      <c r="E197"/>
      <c r="F197"/>
      <c r="G197" s="16"/>
      <c r="H197" s="16"/>
      <c r="I197" s="16"/>
      <c r="J197" s="16"/>
      <c r="K197" s="16"/>
      <c r="L197" s="16"/>
      <c r="AS197"/>
      <c r="AT197"/>
      <c r="AU197"/>
      <c r="AV197"/>
      <c r="AW197"/>
      <c r="AX197"/>
    </row>
    <row r="198" spans="1:50">
      <c r="A198"/>
      <c r="B198"/>
      <c r="C198"/>
      <c r="D198"/>
      <c r="E198"/>
      <c r="F198"/>
      <c r="G198" s="16"/>
      <c r="H198" s="16"/>
      <c r="I198" s="16"/>
      <c r="J198" s="16"/>
      <c r="K198" s="16"/>
      <c r="L198" s="16"/>
      <c r="AS198"/>
      <c r="AT198"/>
      <c r="AU198"/>
      <c r="AV198"/>
      <c r="AW198"/>
      <c r="AX198"/>
    </row>
    <row r="199" spans="1:50">
      <c r="A199"/>
      <c r="B199"/>
      <c r="C199"/>
      <c r="D199"/>
      <c r="E199"/>
      <c r="F199"/>
      <c r="G199" s="16"/>
      <c r="H199" s="16"/>
      <c r="I199" s="16"/>
      <c r="J199" s="16"/>
      <c r="K199" s="16"/>
      <c r="L199" s="16"/>
      <c r="AS199"/>
      <c r="AT199"/>
      <c r="AU199"/>
      <c r="AV199"/>
      <c r="AW199"/>
      <c r="AX199"/>
    </row>
    <row r="200" spans="1:50">
      <c r="A200"/>
      <c r="B200"/>
      <c r="C200"/>
      <c r="D200"/>
      <c r="E200"/>
      <c r="F200"/>
      <c r="G200" s="16"/>
      <c r="H200" s="16"/>
      <c r="I200" s="16"/>
      <c r="J200" s="16"/>
      <c r="K200" s="16"/>
      <c r="L200" s="16"/>
      <c r="AS200"/>
      <c r="AT200"/>
      <c r="AU200"/>
      <c r="AV200"/>
      <c r="AW200"/>
      <c r="AX200"/>
    </row>
    <row r="201" spans="1:50">
      <c r="A201"/>
      <c r="B201"/>
      <c r="C201"/>
      <c r="D201"/>
      <c r="E201"/>
      <c r="F201"/>
      <c r="G201" s="16"/>
      <c r="H201" s="16"/>
      <c r="I201" s="16"/>
      <c r="J201" s="16"/>
      <c r="K201" s="16"/>
      <c r="L201" s="16"/>
      <c r="AS201"/>
      <c r="AT201"/>
      <c r="AU201"/>
      <c r="AV201"/>
      <c r="AW201"/>
      <c r="AX201"/>
    </row>
    <row r="202" spans="1:50">
      <c r="A202"/>
      <c r="B202"/>
      <c r="C202"/>
      <c r="D202"/>
      <c r="E202"/>
      <c r="F202"/>
      <c r="G202" s="16"/>
      <c r="H202" s="16"/>
      <c r="I202" s="16"/>
      <c r="J202" s="16"/>
      <c r="K202" s="16"/>
      <c r="L202" s="16"/>
      <c r="AS202"/>
      <c r="AT202"/>
      <c r="AU202"/>
      <c r="AV202"/>
      <c r="AW202"/>
      <c r="AX202"/>
    </row>
    <row r="203" spans="1:50">
      <c r="A203"/>
      <c r="B203"/>
      <c r="C203"/>
      <c r="D203"/>
      <c r="E203"/>
      <c r="F203"/>
      <c r="G203" s="16"/>
      <c r="H203" s="16"/>
      <c r="I203" s="16"/>
      <c r="J203" s="16"/>
      <c r="K203" s="16"/>
      <c r="L203" s="16"/>
      <c r="AS203"/>
      <c r="AT203"/>
      <c r="AU203"/>
      <c r="AV203"/>
      <c r="AW203"/>
      <c r="AX203"/>
    </row>
    <row r="204" spans="1:50">
      <c r="A204"/>
      <c r="B204"/>
      <c r="C204"/>
      <c r="D204"/>
      <c r="E204"/>
      <c r="F204"/>
      <c r="G204" s="16"/>
      <c r="H204" s="16"/>
      <c r="I204" s="16"/>
      <c r="J204" s="16"/>
      <c r="K204" s="16"/>
      <c r="L204" s="16"/>
      <c r="AS204"/>
      <c r="AT204"/>
      <c r="AU204"/>
      <c r="AV204"/>
      <c r="AW204"/>
      <c r="AX204"/>
    </row>
    <row r="205" spans="1:50">
      <c r="A205"/>
      <c r="B205"/>
      <c r="C205"/>
      <c r="D205"/>
      <c r="E205"/>
      <c r="F205"/>
      <c r="G205" s="16"/>
      <c r="H205" s="16"/>
      <c r="I205" s="16"/>
      <c r="J205" s="16"/>
      <c r="K205" s="16"/>
      <c r="L205" s="16"/>
      <c r="AS205"/>
      <c r="AT205"/>
      <c r="AU205"/>
      <c r="AV205"/>
      <c r="AW205"/>
      <c r="AX205"/>
    </row>
    <row r="206" spans="1:50">
      <c r="A206"/>
      <c r="B206"/>
      <c r="C206"/>
      <c r="D206"/>
      <c r="E206"/>
      <c r="F206"/>
      <c r="G206" s="16"/>
      <c r="H206" s="16"/>
      <c r="I206" s="16"/>
      <c r="J206" s="16"/>
      <c r="K206" s="16"/>
      <c r="L206" s="16"/>
      <c r="AS206"/>
      <c r="AT206"/>
      <c r="AU206"/>
      <c r="AV206"/>
      <c r="AW206"/>
      <c r="AX206"/>
    </row>
    <row r="207" spans="1:50">
      <c r="A207"/>
      <c r="B207"/>
      <c r="C207"/>
      <c r="D207"/>
      <c r="E207"/>
      <c r="F207"/>
      <c r="G207" s="16"/>
      <c r="H207" s="16"/>
      <c r="I207" s="16"/>
      <c r="J207" s="16"/>
      <c r="K207" s="16"/>
      <c r="L207" s="16"/>
      <c r="AS207"/>
      <c r="AT207"/>
      <c r="AU207"/>
      <c r="AV207"/>
      <c r="AW207"/>
      <c r="AX207"/>
    </row>
    <row r="208" spans="1:50">
      <c r="A208"/>
      <c r="B208"/>
      <c r="C208"/>
      <c r="D208"/>
      <c r="E208"/>
      <c r="F208"/>
      <c r="G208" s="16"/>
      <c r="H208" s="16"/>
      <c r="I208" s="16"/>
      <c r="J208" s="16"/>
      <c r="K208" s="16"/>
      <c r="L208" s="16"/>
      <c r="AS208"/>
      <c r="AT208"/>
      <c r="AU208"/>
      <c r="AV208"/>
      <c r="AW208"/>
      <c r="AX208"/>
    </row>
    <row r="209" spans="1:50">
      <c r="A209"/>
      <c r="B209"/>
      <c r="C209"/>
      <c r="D209"/>
      <c r="E209"/>
      <c r="F209"/>
      <c r="G209" s="16"/>
      <c r="H209" s="16"/>
      <c r="I209" s="16"/>
      <c r="J209" s="16"/>
      <c r="K209" s="16"/>
      <c r="L209" s="16"/>
      <c r="AS209"/>
      <c r="AT209"/>
      <c r="AU209"/>
      <c r="AV209"/>
      <c r="AW209"/>
      <c r="AX209"/>
    </row>
    <row r="210" spans="1:50">
      <c r="A210"/>
      <c r="B210"/>
      <c r="C210"/>
      <c r="D210"/>
      <c r="E210"/>
      <c r="F210"/>
      <c r="G210" s="16"/>
      <c r="H210" s="16"/>
      <c r="I210" s="16"/>
      <c r="J210" s="16"/>
      <c r="K210" s="16"/>
      <c r="L210" s="16"/>
      <c r="AS210"/>
      <c r="AT210"/>
      <c r="AU210"/>
      <c r="AV210"/>
      <c r="AW210"/>
      <c r="AX210"/>
    </row>
    <row r="211" spans="1:50">
      <c r="A211"/>
      <c r="B211"/>
      <c r="C211"/>
      <c r="D211"/>
      <c r="E211"/>
      <c r="F211"/>
      <c r="G211" s="16"/>
      <c r="H211" s="16"/>
      <c r="I211" s="16"/>
      <c r="J211" s="16"/>
      <c r="K211" s="16"/>
      <c r="L211" s="16"/>
      <c r="AS211"/>
      <c r="AT211"/>
      <c r="AU211"/>
      <c r="AV211"/>
      <c r="AW211"/>
      <c r="AX211"/>
    </row>
    <row r="212" spans="1:50">
      <c r="A212"/>
      <c r="B212"/>
      <c r="C212"/>
      <c r="D212"/>
      <c r="E212"/>
      <c r="F212"/>
      <c r="G212" s="16"/>
      <c r="H212" s="16"/>
      <c r="I212" s="16"/>
      <c r="J212" s="16"/>
      <c r="K212" s="16"/>
      <c r="L212" s="16"/>
      <c r="AS212"/>
      <c r="AT212"/>
      <c r="AU212"/>
      <c r="AV212"/>
      <c r="AW212"/>
      <c r="AX212"/>
    </row>
    <row r="213" spans="1:50">
      <c r="A213"/>
      <c r="B213"/>
      <c r="C213"/>
      <c r="D213"/>
      <c r="E213"/>
      <c r="F213"/>
      <c r="G213" s="16"/>
      <c r="H213" s="16"/>
      <c r="I213" s="16"/>
      <c r="J213" s="16"/>
      <c r="K213" s="16"/>
      <c r="L213" s="16"/>
      <c r="AS213"/>
      <c r="AT213"/>
      <c r="AU213"/>
      <c r="AV213"/>
      <c r="AW213"/>
      <c r="AX213"/>
    </row>
    <row r="214" spans="1:50">
      <c r="A214"/>
      <c r="B214"/>
      <c r="C214"/>
      <c r="D214"/>
      <c r="E214"/>
      <c r="F214"/>
      <c r="G214" s="16"/>
      <c r="H214" s="16"/>
      <c r="I214" s="16"/>
      <c r="J214" s="16"/>
      <c r="K214" s="16"/>
      <c r="L214" s="16"/>
      <c r="AS214"/>
      <c r="AT214"/>
      <c r="AU214"/>
      <c r="AV214"/>
      <c r="AW214"/>
      <c r="AX214"/>
    </row>
    <row r="215" spans="1:50">
      <c r="A215"/>
      <c r="B215"/>
      <c r="C215"/>
      <c r="D215"/>
      <c r="E215"/>
      <c r="F215"/>
      <c r="G215" s="16"/>
      <c r="H215" s="16"/>
      <c r="I215" s="16"/>
      <c r="J215" s="16"/>
      <c r="K215" s="16"/>
      <c r="L215" s="16"/>
      <c r="AS215"/>
      <c r="AT215"/>
      <c r="AU215"/>
      <c r="AV215"/>
      <c r="AW215"/>
      <c r="AX215"/>
    </row>
    <row r="216" spans="1:50">
      <c r="A216"/>
      <c r="B216"/>
      <c r="C216"/>
      <c r="D216"/>
      <c r="E216"/>
      <c r="F216"/>
      <c r="G216" s="16"/>
      <c r="H216" s="16"/>
      <c r="I216" s="16"/>
      <c r="J216" s="16"/>
      <c r="K216" s="16"/>
      <c r="L216" s="16"/>
      <c r="AS216"/>
      <c r="AT216"/>
      <c r="AU216"/>
      <c r="AV216"/>
      <c r="AW216"/>
      <c r="AX216"/>
    </row>
    <row r="217" spans="1:50">
      <c r="A217"/>
      <c r="B217"/>
      <c r="C217"/>
      <c r="D217"/>
      <c r="E217"/>
      <c r="F217"/>
      <c r="G217" s="16"/>
      <c r="H217" s="16"/>
      <c r="I217" s="16"/>
      <c r="J217" s="16"/>
      <c r="K217" s="16"/>
      <c r="L217" s="16"/>
      <c r="AS217"/>
      <c r="AT217"/>
      <c r="AU217"/>
      <c r="AV217"/>
      <c r="AW217"/>
      <c r="AX217"/>
    </row>
    <row r="218" spans="1:50">
      <c r="A218"/>
      <c r="B218"/>
      <c r="C218"/>
      <c r="D218"/>
      <c r="E218"/>
      <c r="F218"/>
      <c r="G218" s="16"/>
      <c r="H218" s="16"/>
      <c r="I218" s="16"/>
      <c r="J218" s="16"/>
      <c r="K218" s="16"/>
      <c r="L218" s="16"/>
      <c r="AS218"/>
      <c r="AT218"/>
      <c r="AU218"/>
      <c r="AV218"/>
      <c r="AW218"/>
      <c r="AX218"/>
    </row>
    <row r="219" spans="1:50">
      <c r="A219"/>
      <c r="B219"/>
      <c r="C219"/>
      <c r="D219"/>
      <c r="E219"/>
      <c r="F219"/>
      <c r="G219" s="16"/>
      <c r="H219" s="16"/>
      <c r="I219" s="16"/>
      <c r="J219" s="16"/>
      <c r="K219" s="16"/>
      <c r="L219" s="16"/>
      <c r="AS219"/>
      <c r="AT219"/>
      <c r="AU219"/>
      <c r="AV219"/>
      <c r="AW219"/>
      <c r="AX219"/>
    </row>
    <row r="220" spans="1:50">
      <c r="A220"/>
      <c r="B220"/>
      <c r="C220"/>
      <c r="D220"/>
      <c r="E220"/>
      <c r="F220"/>
      <c r="G220" s="16"/>
      <c r="H220" s="16"/>
      <c r="I220" s="16"/>
      <c r="J220" s="16"/>
      <c r="K220" s="16"/>
      <c r="L220" s="16"/>
      <c r="AS220"/>
      <c r="AT220"/>
      <c r="AU220"/>
      <c r="AV220"/>
      <c r="AW220"/>
      <c r="AX220"/>
    </row>
    <row r="221" spans="1:50">
      <c r="A221"/>
      <c r="B221"/>
      <c r="C221"/>
      <c r="D221"/>
      <c r="E221"/>
      <c r="F221"/>
      <c r="G221" s="16"/>
      <c r="H221" s="16"/>
      <c r="I221" s="16"/>
      <c r="J221" s="16"/>
      <c r="K221" s="16"/>
      <c r="L221" s="16"/>
      <c r="AS221"/>
      <c r="AT221"/>
      <c r="AU221"/>
      <c r="AV221"/>
      <c r="AW221"/>
      <c r="AX221"/>
    </row>
    <row r="222" spans="1:50">
      <c r="A222"/>
      <c r="B222"/>
      <c r="C222"/>
      <c r="D222"/>
      <c r="E222"/>
      <c r="F222"/>
      <c r="G222" s="16"/>
      <c r="H222" s="16"/>
      <c r="I222" s="16"/>
      <c r="J222" s="16"/>
      <c r="K222" s="16"/>
      <c r="L222" s="16"/>
      <c r="AS222"/>
      <c r="AT222"/>
      <c r="AU222"/>
      <c r="AV222"/>
      <c r="AW222"/>
      <c r="AX222"/>
    </row>
    <row r="223" spans="1:50">
      <c r="A223"/>
      <c r="B223"/>
      <c r="C223"/>
      <c r="D223"/>
      <c r="E223"/>
      <c r="F223"/>
      <c r="G223" s="16"/>
      <c r="H223" s="16"/>
      <c r="I223" s="16"/>
      <c r="J223" s="16"/>
      <c r="K223" s="16"/>
      <c r="L223" s="16"/>
      <c r="AS223"/>
      <c r="AT223"/>
      <c r="AU223"/>
      <c r="AV223"/>
      <c r="AW223"/>
      <c r="AX223"/>
    </row>
    <row r="224" spans="1:50">
      <c r="A224"/>
      <c r="B224"/>
      <c r="C224"/>
      <c r="D224"/>
      <c r="E224"/>
      <c r="F224"/>
      <c r="G224" s="16"/>
      <c r="H224" s="16"/>
      <c r="I224" s="16"/>
      <c r="J224" s="16"/>
      <c r="K224" s="16"/>
      <c r="L224" s="16"/>
      <c r="AS224"/>
      <c r="AT224"/>
      <c r="AU224"/>
      <c r="AV224"/>
      <c r="AW224"/>
      <c r="AX224"/>
    </row>
    <row r="225" spans="1:50">
      <c r="A225"/>
      <c r="B225"/>
      <c r="C225"/>
      <c r="D225"/>
      <c r="E225"/>
      <c r="F225"/>
      <c r="G225" s="16"/>
      <c r="H225" s="16"/>
      <c r="I225" s="16"/>
      <c r="J225" s="16"/>
      <c r="K225" s="16"/>
      <c r="L225" s="16"/>
      <c r="AS225"/>
      <c r="AT225"/>
      <c r="AU225"/>
      <c r="AV225"/>
      <c r="AW225"/>
      <c r="AX225"/>
    </row>
    <row r="226" spans="1:50">
      <c r="A226"/>
      <c r="B226"/>
      <c r="C226"/>
      <c r="D226"/>
      <c r="E226"/>
      <c r="F226"/>
      <c r="G226" s="16"/>
      <c r="H226" s="16"/>
      <c r="I226" s="16"/>
      <c r="J226" s="16"/>
      <c r="K226" s="16"/>
      <c r="L226" s="16"/>
      <c r="AS226"/>
      <c r="AT226"/>
      <c r="AU226"/>
      <c r="AV226"/>
      <c r="AW226"/>
      <c r="AX226"/>
    </row>
    <row r="227" spans="1:50">
      <c r="A227"/>
      <c r="B227"/>
      <c r="C227"/>
      <c r="D227"/>
      <c r="E227"/>
      <c r="F227"/>
      <c r="G227" s="16"/>
      <c r="H227" s="16"/>
      <c r="I227" s="16"/>
      <c r="J227" s="16"/>
      <c r="K227" s="16"/>
      <c r="L227" s="16"/>
      <c r="AS227"/>
      <c r="AT227"/>
      <c r="AU227"/>
      <c r="AV227"/>
      <c r="AW227"/>
      <c r="AX227"/>
    </row>
    <row r="228" spans="1:50">
      <c r="A228"/>
      <c r="B228"/>
      <c r="C228"/>
      <c r="D228"/>
      <c r="E228"/>
      <c r="F228"/>
      <c r="G228" s="16"/>
      <c r="H228" s="16"/>
      <c r="I228" s="16"/>
      <c r="J228" s="16"/>
      <c r="K228" s="16"/>
      <c r="L228" s="16"/>
      <c r="AS228"/>
      <c r="AT228"/>
      <c r="AU228"/>
      <c r="AV228"/>
      <c r="AW228"/>
      <c r="AX228"/>
    </row>
    <row r="229" spans="1:50">
      <c r="A229"/>
      <c r="B229"/>
      <c r="C229"/>
      <c r="D229"/>
      <c r="E229"/>
      <c r="F229"/>
      <c r="G229" s="16"/>
      <c r="H229" s="16"/>
      <c r="I229" s="16"/>
      <c r="J229" s="16"/>
      <c r="K229" s="16"/>
      <c r="L229" s="16"/>
      <c r="AS229"/>
      <c r="AT229"/>
      <c r="AU229"/>
      <c r="AV229"/>
      <c r="AW229"/>
      <c r="AX229"/>
    </row>
    <row r="230" spans="1:50">
      <c r="A230"/>
      <c r="B230"/>
      <c r="C230"/>
      <c r="D230"/>
      <c r="E230"/>
      <c r="F230"/>
      <c r="G230" s="16"/>
      <c r="H230" s="16"/>
      <c r="I230" s="16"/>
      <c r="J230" s="16"/>
      <c r="K230" s="16"/>
      <c r="L230" s="16"/>
      <c r="AS230"/>
      <c r="AT230"/>
      <c r="AU230"/>
      <c r="AV230"/>
      <c r="AW230"/>
      <c r="AX230"/>
    </row>
    <row r="231" spans="1:50">
      <c r="A231"/>
      <c r="B231"/>
      <c r="C231"/>
      <c r="D231"/>
      <c r="E231"/>
      <c r="F231"/>
      <c r="G231" s="16"/>
      <c r="H231" s="16"/>
      <c r="I231" s="16"/>
      <c r="J231" s="16"/>
      <c r="K231" s="16"/>
      <c r="L231" s="16"/>
      <c r="AS231"/>
      <c r="AT231"/>
      <c r="AU231"/>
      <c r="AV231"/>
      <c r="AW231"/>
      <c r="AX231"/>
    </row>
    <row r="232" spans="1:50">
      <c r="A232"/>
      <c r="B232"/>
      <c r="C232"/>
      <c r="D232"/>
      <c r="E232"/>
      <c r="F232"/>
      <c r="G232" s="16"/>
      <c r="H232" s="16"/>
      <c r="I232" s="16"/>
      <c r="J232" s="16"/>
      <c r="K232" s="16"/>
      <c r="L232" s="16"/>
      <c r="AS232"/>
      <c r="AT232"/>
      <c r="AU232"/>
      <c r="AV232"/>
      <c r="AW232"/>
      <c r="AX232"/>
    </row>
    <row r="233" spans="1:50">
      <c r="A233"/>
      <c r="B233"/>
      <c r="C233"/>
      <c r="D233"/>
      <c r="E233"/>
      <c r="F233"/>
      <c r="G233" s="16"/>
      <c r="H233" s="16"/>
      <c r="I233" s="16"/>
      <c r="J233" s="16"/>
      <c r="K233" s="16"/>
      <c r="L233" s="16"/>
      <c r="AS233"/>
      <c r="AT233"/>
      <c r="AU233"/>
      <c r="AV233"/>
      <c r="AW233"/>
      <c r="AX233"/>
    </row>
    <row r="234" spans="1:50">
      <c r="A234"/>
      <c r="B234"/>
      <c r="C234"/>
      <c r="D234"/>
      <c r="E234"/>
      <c r="F234"/>
      <c r="G234" s="16"/>
      <c r="H234" s="16"/>
      <c r="I234" s="16"/>
      <c r="J234" s="16"/>
      <c r="K234" s="16"/>
      <c r="L234" s="16"/>
      <c r="AS234"/>
      <c r="AT234"/>
      <c r="AU234"/>
      <c r="AV234"/>
      <c r="AW234"/>
      <c r="AX234"/>
    </row>
    <row r="235" spans="1:50">
      <c r="A235"/>
      <c r="B235"/>
      <c r="C235"/>
      <c r="D235"/>
      <c r="E235"/>
      <c r="F235"/>
      <c r="G235" s="16"/>
      <c r="H235" s="16"/>
      <c r="I235" s="16"/>
      <c r="J235" s="16"/>
      <c r="K235" s="16"/>
      <c r="L235" s="16"/>
      <c r="AS235"/>
      <c r="AT235"/>
      <c r="AU235"/>
      <c r="AV235"/>
      <c r="AW235"/>
      <c r="AX235"/>
    </row>
    <row r="236" spans="1:50">
      <c r="A236"/>
      <c r="B236"/>
      <c r="C236"/>
      <c r="D236"/>
      <c r="E236"/>
      <c r="F236"/>
      <c r="G236" s="16"/>
      <c r="H236" s="16"/>
      <c r="I236" s="16"/>
      <c r="J236" s="16"/>
      <c r="K236" s="16"/>
      <c r="L236" s="16"/>
      <c r="AS236"/>
      <c r="AT236"/>
      <c r="AU236"/>
      <c r="AV236"/>
      <c r="AW236"/>
      <c r="AX236"/>
    </row>
    <row r="237" spans="1:50">
      <c r="A237"/>
      <c r="B237"/>
      <c r="C237"/>
      <c r="D237"/>
      <c r="E237"/>
      <c r="F237"/>
      <c r="G237" s="16"/>
      <c r="H237" s="16"/>
      <c r="I237" s="16"/>
      <c r="J237" s="16"/>
      <c r="K237" s="16"/>
      <c r="L237" s="16"/>
      <c r="AS237"/>
      <c r="AT237"/>
      <c r="AU237"/>
      <c r="AV237"/>
      <c r="AW237"/>
      <c r="AX237"/>
    </row>
    <row r="238" spans="1:50">
      <c r="A238"/>
      <c r="B238"/>
      <c r="C238"/>
      <c r="D238"/>
      <c r="E238"/>
      <c r="F238"/>
      <c r="G238" s="16"/>
      <c r="H238" s="16"/>
      <c r="I238" s="16"/>
      <c r="J238" s="16"/>
      <c r="K238" s="16"/>
      <c r="L238" s="16"/>
      <c r="AS238"/>
      <c r="AT238"/>
      <c r="AU238"/>
      <c r="AV238"/>
      <c r="AW238"/>
      <c r="AX238"/>
    </row>
    <row r="239" spans="1:50">
      <c r="A239"/>
      <c r="B239"/>
      <c r="C239"/>
      <c r="D239"/>
      <c r="E239"/>
      <c r="F239"/>
      <c r="G239" s="16"/>
      <c r="H239" s="16"/>
      <c r="I239" s="16"/>
      <c r="J239" s="16"/>
      <c r="K239" s="16"/>
      <c r="L239" s="16"/>
      <c r="AS239"/>
      <c r="AT239"/>
      <c r="AU239"/>
      <c r="AV239"/>
      <c r="AW239"/>
      <c r="AX239"/>
    </row>
    <row r="240" spans="1:50">
      <c r="A240"/>
      <c r="B240"/>
      <c r="C240"/>
      <c r="D240"/>
      <c r="E240"/>
      <c r="F240"/>
      <c r="G240" s="16"/>
      <c r="H240" s="16"/>
      <c r="I240" s="16"/>
      <c r="J240" s="16"/>
      <c r="K240" s="16"/>
      <c r="L240" s="16"/>
      <c r="AS240"/>
      <c r="AT240"/>
      <c r="AU240"/>
      <c r="AV240"/>
      <c r="AW240"/>
      <c r="AX240"/>
    </row>
    <row r="241" spans="1:50">
      <c r="A241"/>
      <c r="B241"/>
      <c r="C241"/>
      <c r="D241"/>
      <c r="E241"/>
      <c r="F241"/>
      <c r="G241" s="16"/>
      <c r="H241" s="16"/>
      <c r="I241" s="16"/>
      <c r="J241" s="16"/>
      <c r="K241" s="16"/>
      <c r="L241" s="16"/>
      <c r="AS241"/>
      <c r="AT241"/>
      <c r="AU241"/>
      <c r="AV241"/>
      <c r="AW241"/>
      <c r="AX241"/>
    </row>
    <row r="242" spans="1:50">
      <c r="A242"/>
      <c r="B242"/>
      <c r="C242"/>
      <c r="D242"/>
      <c r="E242"/>
      <c r="F242"/>
      <c r="G242" s="16"/>
      <c r="H242" s="16"/>
      <c r="I242" s="16"/>
      <c r="J242" s="16"/>
      <c r="K242" s="16"/>
      <c r="L242" s="16"/>
      <c r="AS242"/>
      <c r="AT242"/>
      <c r="AU242"/>
      <c r="AV242"/>
      <c r="AW242"/>
      <c r="AX242"/>
    </row>
    <row r="243" spans="1:50">
      <c r="A243"/>
      <c r="B243"/>
      <c r="C243"/>
      <c r="D243"/>
      <c r="E243"/>
      <c r="F243"/>
      <c r="G243" s="16"/>
      <c r="H243" s="16"/>
      <c r="I243" s="16"/>
      <c r="J243" s="16"/>
      <c r="K243" s="16"/>
      <c r="L243" s="16"/>
      <c r="AS243"/>
      <c r="AT243"/>
      <c r="AU243"/>
      <c r="AV243"/>
      <c r="AW243"/>
      <c r="AX243"/>
    </row>
    <row r="244" spans="1:50">
      <c r="A244"/>
      <c r="B244"/>
      <c r="C244"/>
      <c r="D244"/>
      <c r="E244"/>
      <c r="F244"/>
      <c r="G244" s="16"/>
      <c r="H244" s="16"/>
      <c r="I244" s="16"/>
      <c r="J244" s="16"/>
      <c r="K244" s="16"/>
      <c r="L244" s="16"/>
      <c r="AS244"/>
      <c r="AT244"/>
      <c r="AU244"/>
      <c r="AV244"/>
      <c r="AW244"/>
      <c r="AX244"/>
    </row>
    <row r="245" spans="1:50">
      <c r="A245"/>
      <c r="B245"/>
      <c r="C245"/>
      <c r="D245"/>
      <c r="E245"/>
      <c r="F245"/>
      <c r="G245" s="16"/>
      <c r="H245" s="16"/>
      <c r="I245" s="16"/>
      <c r="J245" s="16"/>
      <c r="K245" s="16"/>
      <c r="L245" s="16"/>
      <c r="AS245"/>
      <c r="AT245"/>
      <c r="AU245"/>
      <c r="AV245"/>
      <c r="AW245"/>
      <c r="AX245"/>
    </row>
    <row r="246" spans="1:50">
      <c r="A246"/>
      <c r="B246"/>
      <c r="C246"/>
      <c r="D246"/>
      <c r="E246"/>
      <c r="F246"/>
      <c r="G246" s="16"/>
      <c r="H246" s="16"/>
      <c r="I246" s="16"/>
      <c r="J246" s="16"/>
      <c r="K246" s="16"/>
      <c r="L246" s="16"/>
      <c r="AS246"/>
      <c r="AT246"/>
      <c r="AU246"/>
      <c r="AV246"/>
      <c r="AW246"/>
      <c r="AX246"/>
    </row>
    <row r="247" spans="1:50">
      <c r="A247"/>
      <c r="B247"/>
      <c r="C247"/>
      <c r="D247"/>
      <c r="E247"/>
      <c r="F247"/>
      <c r="G247" s="16"/>
      <c r="H247" s="16"/>
      <c r="I247" s="16"/>
      <c r="J247" s="16"/>
      <c r="K247" s="16"/>
      <c r="L247" s="16"/>
      <c r="AS247"/>
      <c r="AT247"/>
      <c r="AU247"/>
      <c r="AV247"/>
      <c r="AW247"/>
      <c r="AX247"/>
    </row>
    <row r="248" spans="1:50">
      <c r="A248"/>
      <c r="B248"/>
      <c r="C248"/>
      <c r="D248"/>
      <c r="E248"/>
      <c r="F248"/>
      <c r="G248" s="16"/>
      <c r="H248" s="16"/>
      <c r="I248" s="16"/>
      <c r="J248" s="16"/>
      <c r="K248" s="16"/>
      <c r="L248" s="16"/>
      <c r="AS248"/>
      <c r="AT248"/>
      <c r="AU248"/>
      <c r="AV248"/>
      <c r="AW248"/>
      <c r="AX248"/>
    </row>
    <row r="249" spans="1:50">
      <c r="A249"/>
      <c r="B249"/>
      <c r="C249"/>
      <c r="D249"/>
      <c r="E249"/>
      <c r="F249"/>
      <c r="G249" s="16"/>
      <c r="H249" s="16"/>
      <c r="I249" s="16"/>
      <c r="J249" s="16"/>
      <c r="K249" s="16"/>
      <c r="L249" s="16"/>
      <c r="AS249"/>
      <c r="AT249"/>
      <c r="AU249"/>
      <c r="AV249"/>
      <c r="AW249"/>
      <c r="AX249"/>
    </row>
    <row r="250" spans="1:50">
      <c r="A250"/>
      <c r="B250"/>
      <c r="C250"/>
      <c r="D250"/>
      <c r="E250"/>
      <c r="F250"/>
      <c r="G250" s="16"/>
      <c r="H250" s="16"/>
      <c r="I250" s="16"/>
      <c r="J250" s="16"/>
      <c r="K250" s="16"/>
      <c r="L250" s="16"/>
      <c r="AS250"/>
      <c r="AT250"/>
      <c r="AU250"/>
      <c r="AV250"/>
      <c r="AW250"/>
      <c r="AX250"/>
    </row>
    <row r="251" spans="1:50">
      <c r="A251"/>
      <c r="B251"/>
      <c r="C251"/>
      <c r="D251"/>
      <c r="E251"/>
      <c r="F251"/>
      <c r="G251" s="16"/>
      <c r="H251" s="16"/>
      <c r="I251" s="16"/>
      <c r="J251" s="16"/>
      <c r="K251" s="16"/>
      <c r="L251" s="16"/>
      <c r="AS251"/>
      <c r="AT251"/>
      <c r="AU251"/>
      <c r="AV251"/>
      <c r="AW251"/>
      <c r="AX251"/>
    </row>
    <row r="252" spans="1:50">
      <c r="A252"/>
      <c r="B252"/>
      <c r="C252"/>
      <c r="D252"/>
      <c r="E252"/>
      <c r="F252"/>
      <c r="G252" s="16"/>
      <c r="H252" s="16"/>
      <c r="I252" s="16"/>
      <c r="J252" s="16"/>
      <c r="K252" s="16"/>
      <c r="L252" s="16"/>
      <c r="AS252"/>
      <c r="AT252"/>
      <c r="AU252"/>
      <c r="AV252"/>
      <c r="AW252"/>
      <c r="AX252"/>
    </row>
    <row r="253" spans="1:50">
      <c r="A253"/>
      <c r="B253"/>
      <c r="C253"/>
      <c r="D253"/>
      <c r="E253"/>
      <c r="F253"/>
      <c r="G253" s="16"/>
      <c r="H253" s="16"/>
      <c r="I253" s="16"/>
      <c r="J253" s="16"/>
      <c r="K253" s="16"/>
      <c r="L253" s="16"/>
      <c r="AS253"/>
      <c r="AT253"/>
      <c r="AU253"/>
      <c r="AV253"/>
      <c r="AW253"/>
      <c r="AX253"/>
    </row>
    <row r="254" spans="1:50">
      <c r="A254"/>
      <c r="B254"/>
      <c r="C254"/>
      <c r="D254"/>
      <c r="E254"/>
      <c r="F254"/>
      <c r="G254" s="16"/>
      <c r="H254" s="16"/>
      <c r="I254" s="16"/>
      <c r="J254" s="16"/>
      <c r="K254" s="16"/>
      <c r="L254" s="16"/>
      <c r="AS254"/>
      <c r="AT254"/>
      <c r="AU254"/>
      <c r="AV254"/>
      <c r="AW254"/>
      <c r="AX254"/>
    </row>
    <row r="255" spans="1:50">
      <c r="A255"/>
      <c r="B255"/>
      <c r="C255"/>
      <c r="D255"/>
      <c r="E255"/>
      <c r="F255"/>
      <c r="G255" s="16"/>
      <c r="H255" s="16"/>
      <c r="I255" s="16"/>
      <c r="J255" s="16"/>
      <c r="K255" s="16"/>
      <c r="L255" s="16"/>
      <c r="AS255"/>
      <c r="AT255"/>
      <c r="AU255"/>
      <c r="AV255"/>
      <c r="AW255"/>
      <c r="AX255"/>
    </row>
    <row r="256" spans="1:50">
      <c r="A256"/>
      <c r="B256"/>
      <c r="C256"/>
      <c r="D256"/>
      <c r="E256"/>
      <c r="F256"/>
      <c r="G256" s="16"/>
      <c r="H256" s="16"/>
      <c r="I256" s="16"/>
      <c r="J256" s="16"/>
      <c r="K256" s="16"/>
      <c r="L256" s="16"/>
      <c r="AS256"/>
      <c r="AT256"/>
      <c r="AU256"/>
      <c r="AV256"/>
      <c r="AW256"/>
      <c r="AX256"/>
    </row>
    <row r="257" spans="1:50">
      <c r="A257"/>
      <c r="B257"/>
      <c r="C257"/>
      <c r="D257"/>
      <c r="E257"/>
      <c r="F257"/>
      <c r="G257" s="16"/>
      <c r="H257" s="16"/>
      <c r="I257" s="16"/>
      <c r="J257" s="16"/>
      <c r="K257" s="16"/>
      <c r="L257" s="16"/>
      <c r="AS257"/>
      <c r="AT257"/>
      <c r="AU257"/>
      <c r="AV257"/>
      <c r="AW257"/>
      <c r="AX257"/>
    </row>
    <row r="258" spans="1:50">
      <c r="A258"/>
      <c r="B258"/>
      <c r="C258"/>
      <c r="D258"/>
      <c r="E258"/>
      <c r="F258"/>
      <c r="G258" s="16"/>
      <c r="H258" s="16"/>
      <c r="I258" s="16"/>
      <c r="J258" s="16"/>
      <c r="K258" s="16"/>
      <c r="L258" s="16"/>
      <c r="AS258"/>
      <c r="AT258"/>
      <c r="AU258"/>
      <c r="AV258"/>
      <c r="AW258"/>
      <c r="AX258"/>
    </row>
    <row r="259" spans="1:50">
      <c r="A259"/>
      <c r="B259"/>
      <c r="C259"/>
      <c r="D259"/>
      <c r="E259"/>
      <c r="F259"/>
      <c r="G259" s="16"/>
      <c r="H259" s="16"/>
      <c r="I259" s="16"/>
      <c r="J259" s="16"/>
      <c r="K259" s="16"/>
      <c r="L259" s="16"/>
      <c r="AS259"/>
      <c r="AT259"/>
      <c r="AU259"/>
      <c r="AV259"/>
      <c r="AW259"/>
      <c r="AX259"/>
    </row>
    <row r="260" spans="1:50">
      <c r="A260"/>
      <c r="B260"/>
      <c r="C260"/>
      <c r="D260"/>
      <c r="E260"/>
      <c r="F260"/>
      <c r="G260" s="16"/>
      <c r="H260" s="16"/>
      <c r="I260" s="16"/>
      <c r="J260" s="16"/>
      <c r="K260" s="16"/>
      <c r="L260" s="16"/>
      <c r="AS260"/>
      <c r="AT260"/>
      <c r="AU260"/>
      <c r="AV260"/>
      <c r="AW260"/>
      <c r="AX260"/>
    </row>
    <row r="261" spans="1:50">
      <c r="A261"/>
      <c r="B261"/>
      <c r="C261"/>
      <c r="D261"/>
      <c r="E261"/>
      <c r="F261"/>
      <c r="G261" s="16"/>
      <c r="H261" s="16"/>
      <c r="I261" s="16"/>
      <c r="J261" s="16"/>
      <c r="K261" s="16"/>
      <c r="L261" s="16"/>
      <c r="AS261"/>
      <c r="AT261"/>
      <c r="AU261"/>
      <c r="AV261"/>
      <c r="AW261"/>
      <c r="AX261"/>
    </row>
    <row r="262" spans="1:50">
      <c r="A262"/>
      <c r="B262"/>
      <c r="C262"/>
      <c r="D262"/>
      <c r="E262"/>
      <c r="F262"/>
      <c r="G262" s="16"/>
      <c r="H262" s="16"/>
      <c r="I262" s="16"/>
      <c r="J262" s="16"/>
      <c r="K262" s="16"/>
      <c r="L262" s="16"/>
      <c r="AS262"/>
      <c r="AT262"/>
      <c r="AU262"/>
      <c r="AV262"/>
      <c r="AW262"/>
      <c r="AX262"/>
    </row>
    <row r="263" spans="1:50">
      <c r="A263"/>
      <c r="B263"/>
      <c r="C263"/>
      <c r="D263"/>
      <c r="E263"/>
      <c r="F263"/>
      <c r="G263" s="16"/>
      <c r="H263" s="16"/>
      <c r="I263" s="16"/>
      <c r="J263" s="16"/>
      <c r="K263" s="16"/>
      <c r="L263" s="16"/>
      <c r="AS263"/>
      <c r="AT263"/>
      <c r="AU263"/>
      <c r="AV263"/>
      <c r="AW263"/>
      <c r="AX263"/>
    </row>
    <row r="264" spans="1:50">
      <c r="A264"/>
      <c r="B264"/>
      <c r="C264"/>
      <c r="D264"/>
      <c r="E264"/>
      <c r="F264"/>
      <c r="G264" s="16"/>
      <c r="H264" s="16"/>
      <c r="I264" s="16"/>
      <c r="J264" s="16"/>
      <c r="K264" s="16"/>
      <c r="L264" s="16"/>
      <c r="AS264"/>
      <c r="AT264"/>
      <c r="AU264"/>
      <c r="AV264"/>
      <c r="AW264"/>
      <c r="AX264"/>
    </row>
    <row r="265" spans="1:50">
      <c r="A265"/>
      <c r="B265"/>
      <c r="C265"/>
      <c r="D265"/>
      <c r="E265"/>
      <c r="F265"/>
      <c r="G265" s="16"/>
      <c r="H265" s="16"/>
      <c r="I265" s="16"/>
      <c r="J265" s="16"/>
      <c r="K265" s="16"/>
      <c r="L265" s="16"/>
      <c r="AS265"/>
      <c r="AT265"/>
      <c r="AU265"/>
      <c r="AV265"/>
      <c r="AW265"/>
      <c r="AX265"/>
    </row>
    <row r="266" spans="1:50">
      <c r="A266"/>
      <c r="B266"/>
      <c r="C266"/>
      <c r="D266"/>
      <c r="E266"/>
      <c r="F266"/>
      <c r="G266" s="16"/>
      <c r="H266" s="16"/>
      <c r="I266" s="16"/>
      <c r="J266" s="16"/>
      <c r="K266" s="16"/>
      <c r="L266" s="16"/>
      <c r="AS266"/>
      <c r="AT266"/>
      <c r="AU266"/>
      <c r="AV266"/>
      <c r="AW266"/>
      <c r="AX266"/>
    </row>
    <row r="267" spans="1:50">
      <c r="A267"/>
      <c r="B267"/>
      <c r="C267"/>
      <c r="D267"/>
      <c r="E267"/>
      <c r="F267"/>
      <c r="G267" s="16"/>
      <c r="H267" s="16"/>
      <c r="I267" s="16"/>
      <c r="J267" s="16"/>
      <c r="K267" s="16"/>
      <c r="L267" s="16"/>
      <c r="AS267"/>
      <c r="AT267"/>
      <c r="AU267"/>
      <c r="AV267"/>
      <c r="AW267"/>
      <c r="AX267"/>
    </row>
    <row r="268" spans="1:50">
      <c r="A268"/>
      <c r="B268"/>
      <c r="C268"/>
      <c r="D268"/>
      <c r="E268"/>
      <c r="F268"/>
      <c r="G268" s="16"/>
      <c r="H268" s="16"/>
      <c r="I268" s="16"/>
      <c r="J268" s="16"/>
      <c r="K268" s="16"/>
      <c r="L268" s="16"/>
      <c r="AS268"/>
      <c r="AT268"/>
      <c r="AU268"/>
      <c r="AV268"/>
      <c r="AW268"/>
      <c r="AX268"/>
    </row>
    <row r="269" spans="1:50">
      <c r="A269"/>
      <c r="B269"/>
      <c r="C269"/>
      <c r="D269"/>
      <c r="E269"/>
      <c r="F269"/>
      <c r="G269" s="16"/>
      <c r="H269" s="16"/>
      <c r="I269" s="16"/>
      <c r="J269" s="16"/>
      <c r="K269" s="16"/>
      <c r="L269" s="16"/>
      <c r="AS269"/>
      <c r="AT269"/>
      <c r="AU269"/>
      <c r="AV269"/>
      <c r="AW269"/>
      <c r="AX269"/>
    </row>
    <row r="270" spans="1:50">
      <c r="A270"/>
      <c r="B270"/>
      <c r="C270"/>
      <c r="D270"/>
      <c r="E270"/>
      <c r="F270"/>
      <c r="G270" s="16"/>
      <c r="H270" s="16"/>
      <c r="I270" s="16"/>
      <c r="J270" s="16"/>
      <c r="K270" s="16"/>
      <c r="L270" s="16"/>
      <c r="AS270"/>
      <c r="AT270"/>
      <c r="AU270"/>
      <c r="AV270"/>
      <c r="AW270"/>
      <c r="AX270"/>
    </row>
    <row r="271" spans="1:50">
      <c r="A271"/>
      <c r="B271"/>
      <c r="C271"/>
      <c r="D271"/>
      <c r="E271"/>
      <c r="F271"/>
      <c r="G271" s="16"/>
      <c r="H271" s="16"/>
      <c r="I271" s="16"/>
      <c r="J271" s="16"/>
      <c r="K271" s="16"/>
      <c r="L271" s="16"/>
      <c r="AS271"/>
      <c r="AT271"/>
      <c r="AU271"/>
      <c r="AV271"/>
      <c r="AW271"/>
      <c r="AX271"/>
    </row>
    <row r="272" spans="1:50">
      <c r="A272"/>
      <c r="B272"/>
      <c r="C272"/>
      <c r="D272"/>
      <c r="E272"/>
      <c r="F272"/>
      <c r="G272" s="16"/>
      <c r="H272" s="16"/>
      <c r="I272" s="16"/>
      <c r="J272" s="16"/>
      <c r="K272" s="16"/>
      <c r="L272" s="16"/>
      <c r="AS272"/>
      <c r="AT272"/>
      <c r="AU272"/>
      <c r="AV272"/>
      <c r="AW272"/>
      <c r="AX272"/>
    </row>
    <row r="273" spans="1:50">
      <c r="A273"/>
      <c r="B273"/>
      <c r="C273"/>
      <c r="D273"/>
      <c r="E273"/>
      <c r="F273"/>
      <c r="G273" s="16"/>
      <c r="H273" s="16"/>
      <c r="I273" s="16"/>
      <c r="J273" s="16"/>
      <c r="K273" s="16"/>
      <c r="L273" s="16"/>
      <c r="AS273"/>
      <c r="AT273"/>
      <c r="AU273"/>
      <c r="AV273"/>
      <c r="AW273"/>
      <c r="AX273"/>
    </row>
    <row r="274" spans="1:50">
      <c r="A274"/>
      <c r="B274"/>
      <c r="C274"/>
      <c r="D274"/>
      <c r="E274"/>
      <c r="F274"/>
      <c r="G274" s="16"/>
      <c r="H274" s="16"/>
      <c r="I274" s="16"/>
      <c r="J274" s="16"/>
      <c r="K274" s="16"/>
      <c r="L274" s="16"/>
      <c r="AS274"/>
      <c r="AT274"/>
      <c r="AU274"/>
      <c r="AV274"/>
      <c r="AW274"/>
      <c r="AX274"/>
    </row>
    <row r="275" spans="1:50">
      <c r="A275"/>
      <c r="B275"/>
      <c r="C275"/>
      <c r="D275"/>
      <c r="E275"/>
      <c r="F275"/>
      <c r="G275" s="16"/>
      <c r="H275" s="16"/>
      <c r="I275" s="16"/>
      <c r="J275" s="16"/>
      <c r="K275" s="16"/>
      <c r="L275" s="16"/>
      <c r="AS275"/>
      <c r="AT275"/>
      <c r="AU275"/>
      <c r="AV275"/>
      <c r="AW275"/>
      <c r="AX275"/>
    </row>
    <row r="276" spans="1:50">
      <c r="A276"/>
      <c r="B276"/>
      <c r="C276"/>
      <c r="D276"/>
      <c r="E276"/>
      <c r="F276"/>
      <c r="G276" s="16"/>
      <c r="H276" s="16"/>
      <c r="I276" s="16"/>
      <c r="J276" s="16"/>
      <c r="K276" s="16"/>
      <c r="L276" s="16"/>
      <c r="AS276"/>
      <c r="AT276"/>
      <c r="AU276"/>
      <c r="AV276"/>
      <c r="AW276"/>
      <c r="AX276"/>
    </row>
    <row r="277" spans="1:50">
      <c r="A277"/>
      <c r="B277"/>
      <c r="C277"/>
      <c r="D277"/>
      <c r="E277"/>
      <c r="F277"/>
      <c r="G277" s="16"/>
      <c r="H277" s="16"/>
      <c r="I277" s="16"/>
      <c r="J277" s="16"/>
      <c r="K277" s="16"/>
      <c r="L277" s="16"/>
      <c r="AS277"/>
      <c r="AT277"/>
      <c r="AU277"/>
      <c r="AV277"/>
      <c r="AW277"/>
      <c r="AX277"/>
    </row>
    <row r="278" spans="1:50">
      <c r="A278"/>
      <c r="B278"/>
      <c r="C278"/>
      <c r="D278"/>
      <c r="E278"/>
      <c r="F278"/>
      <c r="G278" s="16"/>
      <c r="H278" s="16"/>
      <c r="I278" s="16"/>
      <c r="J278" s="16"/>
      <c r="K278" s="16"/>
      <c r="L278" s="16"/>
      <c r="AS278"/>
      <c r="AT278"/>
      <c r="AU278"/>
      <c r="AV278"/>
      <c r="AW278"/>
      <c r="AX278"/>
    </row>
    <row r="279" spans="1:50">
      <c r="A279"/>
      <c r="B279"/>
      <c r="C279"/>
      <c r="D279"/>
      <c r="E279"/>
      <c r="F279"/>
      <c r="G279" s="16"/>
      <c r="H279" s="16"/>
      <c r="I279" s="16"/>
      <c r="J279" s="16"/>
      <c r="K279" s="16"/>
      <c r="L279" s="16"/>
      <c r="AS279"/>
      <c r="AT279"/>
      <c r="AU279"/>
      <c r="AV279"/>
      <c r="AW279"/>
      <c r="AX279"/>
    </row>
    <row r="280" spans="1:50">
      <c r="A280"/>
      <c r="B280"/>
      <c r="C280"/>
      <c r="D280"/>
      <c r="E280"/>
      <c r="F280"/>
      <c r="G280" s="16"/>
      <c r="H280" s="16"/>
      <c r="I280" s="16"/>
      <c r="J280" s="16"/>
      <c r="K280" s="16"/>
      <c r="L280" s="16"/>
      <c r="AS280"/>
      <c r="AT280"/>
      <c r="AU280"/>
      <c r="AV280"/>
      <c r="AW280"/>
      <c r="AX280"/>
    </row>
    <row r="281" spans="1:50">
      <c r="A281"/>
      <c r="B281"/>
      <c r="C281"/>
      <c r="D281"/>
      <c r="E281"/>
      <c r="F281"/>
      <c r="G281" s="16"/>
      <c r="H281" s="16"/>
      <c r="I281" s="16"/>
      <c r="J281" s="16"/>
      <c r="K281" s="16"/>
      <c r="L281" s="16"/>
      <c r="AS281"/>
      <c r="AT281"/>
      <c r="AU281"/>
      <c r="AV281"/>
      <c r="AW281"/>
      <c r="AX281"/>
    </row>
    <row r="282" spans="1:50">
      <c r="A282"/>
      <c r="B282"/>
      <c r="C282"/>
      <c r="D282"/>
      <c r="E282"/>
      <c r="F282"/>
      <c r="G282" s="16"/>
      <c r="H282" s="16"/>
      <c r="I282" s="16"/>
      <c r="J282" s="16"/>
      <c r="K282" s="16"/>
      <c r="L282" s="16"/>
      <c r="AS282"/>
      <c r="AT282"/>
      <c r="AU282"/>
      <c r="AV282"/>
      <c r="AW282"/>
      <c r="AX282"/>
    </row>
    <row r="283" spans="1:50">
      <c r="A283"/>
      <c r="B283"/>
      <c r="C283"/>
      <c r="D283"/>
      <c r="E283"/>
      <c r="F283"/>
      <c r="G283" s="16"/>
      <c r="H283" s="16"/>
      <c r="I283" s="16"/>
      <c r="J283" s="16"/>
      <c r="K283" s="16"/>
      <c r="L283" s="16"/>
      <c r="AS283"/>
      <c r="AT283"/>
      <c r="AU283"/>
      <c r="AV283"/>
      <c r="AW283"/>
      <c r="AX283"/>
    </row>
    <row r="284" spans="1:50">
      <c r="A284"/>
      <c r="B284"/>
      <c r="C284"/>
      <c r="D284"/>
      <c r="E284"/>
      <c r="F284"/>
      <c r="G284" s="16"/>
      <c r="H284" s="16"/>
      <c r="I284" s="16"/>
      <c r="J284" s="16"/>
      <c r="K284" s="16"/>
      <c r="L284" s="16"/>
      <c r="AS284"/>
      <c r="AT284"/>
      <c r="AU284"/>
      <c r="AV284"/>
      <c r="AW284"/>
      <c r="AX284"/>
    </row>
    <row r="285" spans="1:50">
      <c r="A285"/>
      <c r="B285"/>
      <c r="C285"/>
      <c r="D285"/>
      <c r="E285"/>
      <c r="F285"/>
      <c r="G285" s="16"/>
      <c r="H285" s="16"/>
      <c r="I285" s="16"/>
      <c r="J285" s="16"/>
      <c r="K285" s="16"/>
      <c r="L285" s="16"/>
      <c r="AS285"/>
      <c r="AT285"/>
      <c r="AU285"/>
      <c r="AV285"/>
      <c r="AW285"/>
      <c r="AX285"/>
    </row>
    <row r="286" spans="1:50">
      <c r="A286"/>
      <c r="B286"/>
      <c r="C286"/>
      <c r="D286"/>
      <c r="E286"/>
      <c r="F286"/>
      <c r="G286" s="16"/>
      <c r="H286" s="16"/>
      <c r="I286" s="16"/>
      <c r="J286" s="16"/>
      <c r="K286" s="16"/>
      <c r="L286" s="16"/>
      <c r="AS286"/>
      <c r="AT286"/>
      <c r="AU286"/>
      <c r="AV286"/>
      <c r="AW286"/>
      <c r="AX286"/>
    </row>
    <row r="287" spans="1:50">
      <c r="A287"/>
      <c r="B287"/>
      <c r="C287"/>
      <c r="D287"/>
      <c r="E287"/>
      <c r="F287"/>
      <c r="G287" s="16"/>
      <c r="H287" s="16"/>
      <c r="I287" s="16"/>
      <c r="J287" s="16"/>
      <c r="K287" s="16"/>
      <c r="L287" s="16"/>
      <c r="AS287"/>
      <c r="AT287"/>
      <c r="AU287"/>
      <c r="AV287"/>
      <c r="AW287"/>
      <c r="AX287"/>
    </row>
    <row r="288" spans="1:50">
      <c r="A288"/>
      <c r="B288"/>
      <c r="C288"/>
      <c r="D288"/>
      <c r="E288"/>
      <c r="F288"/>
      <c r="G288" s="16"/>
      <c r="H288" s="16"/>
      <c r="I288" s="16"/>
      <c r="J288" s="16"/>
      <c r="K288" s="16"/>
      <c r="L288" s="16"/>
      <c r="AS288"/>
      <c r="AT288"/>
      <c r="AU288"/>
      <c r="AV288"/>
      <c r="AW288"/>
      <c r="AX288"/>
    </row>
    <row r="289" spans="1:50">
      <c r="A289"/>
      <c r="B289"/>
      <c r="C289"/>
      <c r="D289"/>
      <c r="E289"/>
      <c r="F289"/>
      <c r="G289" s="16"/>
      <c r="H289" s="16"/>
      <c r="I289" s="16"/>
      <c r="J289" s="16"/>
      <c r="K289" s="16"/>
      <c r="L289" s="16"/>
      <c r="AS289"/>
      <c r="AT289"/>
      <c r="AU289"/>
      <c r="AV289"/>
      <c r="AW289"/>
      <c r="AX289"/>
    </row>
    <row r="290" spans="1:50">
      <c r="A290"/>
      <c r="B290"/>
      <c r="C290"/>
      <c r="D290"/>
      <c r="E290"/>
      <c r="F290"/>
      <c r="G290" s="16"/>
      <c r="H290" s="16"/>
      <c r="I290" s="16"/>
      <c r="J290" s="16"/>
      <c r="K290" s="16"/>
      <c r="L290" s="16"/>
      <c r="AS290"/>
      <c r="AT290"/>
      <c r="AU290"/>
      <c r="AV290"/>
      <c r="AW290"/>
      <c r="AX290"/>
    </row>
    <row r="291" spans="1:50">
      <c r="A291"/>
      <c r="B291"/>
      <c r="C291"/>
      <c r="D291"/>
      <c r="E291"/>
      <c r="F291"/>
      <c r="G291" s="16"/>
      <c r="H291" s="16"/>
      <c r="I291" s="16"/>
      <c r="J291" s="16"/>
      <c r="K291" s="16"/>
      <c r="L291" s="16"/>
      <c r="AS291"/>
      <c r="AT291"/>
      <c r="AU291"/>
      <c r="AV291"/>
      <c r="AW291"/>
      <c r="AX291"/>
    </row>
    <row r="292" spans="1:50">
      <c r="A292"/>
      <c r="B292"/>
      <c r="C292"/>
      <c r="D292"/>
      <c r="E292"/>
      <c r="F292"/>
      <c r="G292" s="16"/>
      <c r="H292" s="16"/>
      <c r="I292" s="16"/>
      <c r="J292" s="16"/>
      <c r="K292" s="16"/>
      <c r="L292" s="16"/>
      <c r="AS292"/>
      <c r="AT292"/>
      <c r="AU292"/>
      <c r="AV292"/>
      <c r="AW292"/>
      <c r="AX292"/>
    </row>
    <row r="293" spans="1:50">
      <c r="A293"/>
      <c r="B293"/>
      <c r="C293"/>
      <c r="D293"/>
      <c r="E293"/>
      <c r="F293"/>
      <c r="G293" s="16"/>
      <c r="H293" s="16"/>
      <c r="I293" s="16"/>
      <c r="J293" s="16"/>
      <c r="K293" s="16"/>
      <c r="L293" s="16"/>
      <c r="AS293"/>
      <c r="AT293"/>
      <c r="AU293"/>
      <c r="AV293"/>
      <c r="AW293"/>
      <c r="AX293"/>
    </row>
    <row r="294" spans="1:50">
      <c r="A294"/>
      <c r="B294"/>
      <c r="C294"/>
      <c r="D294"/>
      <c r="E294"/>
      <c r="F294"/>
      <c r="G294" s="16"/>
      <c r="H294" s="16"/>
      <c r="I294" s="16"/>
      <c r="J294" s="16"/>
      <c r="K294" s="16"/>
      <c r="L294" s="16"/>
      <c r="AS294"/>
      <c r="AT294"/>
      <c r="AU294"/>
      <c r="AV294"/>
      <c r="AW294"/>
      <c r="AX294"/>
    </row>
    <row r="295" spans="1:50">
      <c r="A295"/>
      <c r="B295"/>
      <c r="C295"/>
      <c r="D295"/>
      <c r="E295"/>
      <c r="F295"/>
      <c r="G295" s="16"/>
      <c r="H295" s="16"/>
      <c r="I295" s="16"/>
      <c r="J295" s="16"/>
      <c r="K295" s="16"/>
      <c r="L295" s="16"/>
      <c r="AS295"/>
      <c r="AT295"/>
      <c r="AU295"/>
      <c r="AV295"/>
      <c r="AW295"/>
      <c r="AX295"/>
    </row>
    <row r="296" spans="1:50">
      <c r="A296"/>
      <c r="B296"/>
      <c r="C296"/>
      <c r="D296"/>
      <c r="E296"/>
      <c r="F296"/>
      <c r="G296" s="16"/>
      <c r="H296" s="16"/>
      <c r="I296" s="16"/>
      <c r="J296" s="16"/>
      <c r="K296" s="16"/>
      <c r="L296" s="16"/>
      <c r="AS296"/>
      <c r="AT296"/>
      <c r="AU296"/>
      <c r="AV296"/>
      <c r="AW296"/>
      <c r="AX296"/>
    </row>
    <row r="297" spans="1:50">
      <c r="A297"/>
      <c r="B297"/>
      <c r="C297"/>
      <c r="D297"/>
      <c r="E297"/>
      <c r="F297"/>
      <c r="G297" s="16"/>
      <c r="H297" s="16"/>
      <c r="I297" s="16"/>
      <c r="J297" s="16"/>
      <c r="K297" s="16"/>
      <c r="L297" s="16"/>
      <c r="AS297"/>
      <c r="AT297"/>
      <c r="AU297"/>
      <c r="AV297"/>
      <c r="AW297"/>
      <c r="AX297"/>
    </row>
    <row r="298" spans="1:50">
      <c r="A298"/>
      <c r="B298"/>
      <c r="C298"/>
      <c r="D298"/>
      <c r="E298"/>
      <c r="F298"/>
      <c r="G298" s="16"/>
      <c r="H298" s="16"/>
      <c r="I298" s="16"/>
      <c r="J298" s="16"/>
      <c r="K298" s="16"/>
      <c r="L298" s="16"/>
      <c r="AS298"/>
      <c r="AT298"/>
      <c r="AU298"/>
      <c r="AV298"/>
      <c r="AW298"/>
      <c r="AX298"/>
    </row>
    <row r="299" spans="1:50">
      <c r="A299"/>
      <c r="B299"/>
      <c r="C299"/>
      <c r="D299"/>
      <c r="E299"/>
      <c r="F299"/>
      <c r="G299" s="16"/>
      <c r="H299" s="16"/>
      <c r="I299" s="16"/>
      <c r="J299" s="16"/>
      <c r="K299" s="16"/>
      <c r="L299" s="16"/>
      <c r="AS299"/>
      <c r="AT299"/>
      <c r="AU299"/>
      <c r="AV299"/>
      <c r="AW299"/>
      <c r="AX299"/>
    </row>
    <row r="300" spans="1:50">
      <c r="A300"/>
      <c r="B300"/>
      <c r="C300"/>
      <c r="D300"/>
      <c r="E300"/>
      <c r="F300"/>
      <c r="G300" s="16"/>
      <c r="H300" s="16"/>
      <c r="I300" s="16"/>
      <c r="J300" s="16"/>
      <c r="K300" s="16"/>
      <c r="L300" s="16"/>
      <c r="AS300"/>
      <c r="AT300"/>
      <c r="AU300"/>
      <c r="AV300"/>
      <c r="AW300"/>
      <c r="AX300"/>
    </row>
    <row r="301" spans="1:50">
      <c r="A301"/>
      <c r="B301"/>
      <c r="C301"/>
      <c r="D301"/>
      <c r="E301"/>
      <c r="F301"/>
      <c r="G301" s="16"/>
      <c r="H301" s="16"/>
      <c r="I301" s="16"/>
      <c r="J301" s="16"/>
      <c r="K301" s="16"/>
      <c r="L301" s="16"/>
      <c r="AS301"/>
      <c r="AT301"/>
      <c r="AU301"/>
      <c r="AV301"/>
      <c r="AW301"/>
      <c r="AX301"/>
    </row>
    <row r="302" spans="1:50">
      <c r="A302"/>
      <c r="B302"/>
      <c r="C302"/>
      <c r="D302"/>
      <c r="E302"/>
      <c r="F302"/>
      <c r="G302" s="16"/>
      <c r="H302" s="16"/>
      <c r="I302" s="16"/>
      <c r="J302" s="16"/>
      <c r="K302" s="16"/>
      <c r="L302" s="16"/>
      <c r="AS302"/>
      <c r="AT302"/>
      <c r="AU302"/>
      <c r="AV302"/>
      <c r="AW302"/>
      <c r="AX302"/>
    </row>
    <row r="303" spans="1:50">
      <c r="A303"/>
      <c r="B303"/>
      <c r="C303"/>
      <c r="D303"/>
      <c r="E303"/>
      <c r="F303"/>
      <c r="G303" s="16"/>
      <c r="H303" s="16"/>
      <c r="I303" s="16"/>
      <c r="J303" s="16"/>
      <c r="K303" s="16"/>
      <c r="L303" s="16"/>
      <c r="AS303"/>
      <c r="AT303"/>
      <c r="AU303"/>
      <c r="AV303"/>
      <c r="AW303"/>
      <c r="AX303"/>
    </row>
    <row r="304" spans="1:50">
      <c r="A304"/>
      <c r="B304"/>
      <c r="C304"/>
      <c r="D304"/>
      <c r="E304"/>
      <c r="F304"/>
      <c r="G304" s="16"/>
      <c r="H304" s="16"/>
      <c r="I304" s="16"/>
      <c r="J304" s="16"/>
      <c r="K304" s="16"/>
      <c r="L304" s="16"/>
      <c r="AS304"/>
      <c r="AT304"/>
      <c r="AU304"/>
      <c r="AV304"/>
      <c r="AW304"/>
      <c r="AX304"/>
    </row>
    <row r="305" spans="1:50">
      <c r="A305"/>
      <c r="B305"/>
      <c r="C305"/>
      <c r="D305"/>
      <c r="E305"/>
      <c r="F305"/>
      <c r="G305" s="16"/>
      <c r="H305" s="16"/>
      <c r="I305" s="16"/>
      <c r="J305" s="16"/>
      <c r="K305" s="16"/>
      <c r="L305" s="16"/>
      <c r="AS305"/>
      <c r="AT305"/>
      <c r="AU305"/>
      <c r="AV305"/>
      <c r="AW305"/>
      <c r="AX305"/>
    </row>
    <row r="306" spans="1:50">
      <c r="A306"/>
      <c r="B306"/>
      <c r="C306"/>
      <c r="D306"/>
      <c r="E306"/>
      <c r="F306"/>
      <c r="G306" s="16"/>
      <c r="H306" s="16"/>
      <c r="I306" s="16"/>
      <c r="J306" s="16"/>
      <c r="K306" s="16"/>
      <c r="L306" s="16"/>
      <c r="AS306"/>
      <c r="AT306"/>
      <c r="AU306"/>
      <c r="AV306"/>
      <c r="AW306"/>
      <c r="AX306"/>
    </row>
    <row r="307" spans="1:50">
      <c r="A307"/>
      <c r="B307"/>
      <c r="C307"/>
      <c r="D307"/>
      <c r="E307"/>
      <c r="F307"/>
      <c r="G307" s="16"/>
      <c r="H307" s="16"/>
      <c r="I307" s="16"/>
      <c r="J307" s="16"/>
      <c r="K307" s="16"/>
      <c r="L307" s="16"/>
      <c r="AS307"/>
      <c r="AT307"/>
      <c r="AU307"/>
      <c r="AV307"/>
      <c r="AW307"/>
      <c r="AX307"/>
    </row>
    <row r="308" spans="1:50">
      <c r="A308"/>
      <c r="B308"/>
      <c r="C308"/>
      <c r="D308"/>
      <c r="E308"/>
      <c r="F308"/>
      <c r="G308" s="16"/>
      <c r="H308" s="16"/>
      <c r="I308" s="16"/>
      <c r="J308" s="16"/>
      <c r="K308" s="16"/>
      <c r="L308" s="16"/>
      <c r="AS308"/>
      <c r="AT308"/>
      <c r="AU308"/>
      <c r="AV308"/>
      <c r="AW308"/>
      <c r="AX308"/>
    </row>
    <row r="309" spans="1:50">
      <c r="A309"/>
      <c r="B309"/>
      <c r="C309"/>
      <c r="D309"/>
      <c r="E309"/>
      <c r="F309"/>
      <c r="G309" s="16"/>
      <c r="H309" s="16"/>
      <c r="I309" s="16"/>
      <c r="J309" s="16"/>
      <c r="K309" s="16"/>
      <c r="L309" s="16"/>
      <c r="AS309"/>
      <c r="AT309"/>
      <c r="AU309"/>
      <c r="AV309"/>
      <c r="AW309"/>
      <c r="AX309"/>
    </row>
    <row r="310" spans="1:50">
      <c r="A310"/>
      <c r="B310"/>
      <c r="C310"/>
      <c r="D310"/>
      <c r="E310"/>
      <c r="F310"/>
      <c r="G310" s="16"/>
      <c r="H310" s="16"/>
      <c r="I310" s="16"/>
      <c r="J310" s="16"/>
      <c r="K310" s="16"/>
      <c r="L310" s="16"/>
      <c r="AS310"/>
      <c r="AT310"/>
      <c r="AU310"/>
      <c r="AV310"/>
      <c r="AW310"/>
      <c r="AX310"/>
    </row>
    <row r="311" spans="1:50">
      <c r="A311"/>
      <c r="B311"/>
      <c r="C311"/>
      <c r="D311"/>
      <c r="E311"/>
      <c r="F311"/>
      <c r="G311" s="16"/>
      <c r="H311" s="16"/>
      <c r="I311" s="16"/>
      <c r="J311" s="16"/>
      <c r="K311" s="16"/>
      <c r="L311" s="16"/>
      <c r="AS311"/>
      <c r="AT311"/>
      <c r="AU311"/>
      <c r="AV311"/>
      <c r="AW311"/>
      <c r="AX311"/>
    </row>
    <row r="312" spans="1:50">
      <c r="A312"/>
      <c r="B312"/>
      <c r="C312"/>
      <c r="D312"/>
      <c r="E312"/>
      <c r="F312"/>
      <c r="G312" s="16"/>
      <c r="H312" s="16"/>
      <c r="I312" s="16"/>
      <c r="J312" s="16"/>
      <c r="K312" s="16"/>
      <c r="L312" s="16"/>
      <c r="AS312"/>
      <c r="AT312"/>
      <c r="AU312"/>
      <c r="AV312"/>
      <c r="AW312"/>
      <c r="AX312"/>
    </row>
    <row r="313" spans="1:50">
      <c r="A313"/>
      <c r="B313"/>
      <c r="C313"/>
      <c r="D313"/>
      <c r="E313"/>
      <c r="F313"/>
      <c r="G313" s="16"/>
      <c r="H313" s="16"/>
      <c r="I313" s="16"/>
      <c r="J313" s="16"/>
      <c r="K313" s="16"/>
      <c r="L313" s="16"/>
      <c r="AS313"/>
      <c r="AT313"/>
      <c r="AU313"/>
      <c r="AV313"/>
      <c r="AW313"/>
      <c r="AX313"/>
    </row>
    <row r="314" spans="1:50">
      <c r="A314"/>
      <c r="B314"/>
      <c r="C314"/>
      <c r="D314"/>
      <c r="E314"/>
      <c r="F314"/>
      <c r="G314" s="16"/>
      <c r="H314" s="16"/>
      <c r="I314" s="16"/>
      <c r="J314" s="16"/>
      <c r="K314" s="16"/>
      <c r="L314" s="16"/>
      <c r="AS314"/>
      <c r="AT314"/>
      <c r="AU314"/>
      <c r="AV314"/>
      <c r="AW314"/>
      <c r="AX314"/>
    </row>
    <row r="315" spans="1:50">
      <c r="A315"/>
      <c r="B315"/>
      <c r="C315"/>
      <c r="D315"/>
      <c r="E315"/>
      <c r="F315"/>
      <c r="G315" s="16"/>
      <c r="H315" s="16"/>
      <c r="I315" s="16"/>
      <c r="J315" s="16"/>
      <c r="K315" s="16"/>
      <c r="L315" s="16"/>
      <c r="AS315"/>
      <c r="AT315"/>
      <c r="AU315"/>
      <c r="AV315"/>
      <c r="AW315"/>
      <c r="AX315"/>
    </row>
    <row r="316" spans="1:50">
      <c r="A316"/>
      <c r="B316"/>
      <c r="C316"/>
      <c r="D316"/>
      <c r="E316"/>
      <c r="F316"/>
      <c r="G316" s="16"/>
      <c r="H316" s="16"/>
      <c r="I316" s="16"/>
      <c r="J316" s="16"/>
      <c r="K316" s="16"/>
      <c r="L316" s="16"/>
      <c r="AS316"/>
      <c r="AT316"/>
      <c r="AU316"/>
      <c r="AV316"/>
      <c r="AW316"/>
      <c r="AX316"/>
    </row>
    <row r="317" spans="1:50">
      <c r="A317"/>
      <c r="B317"/>
      <c r="C317"/>
      <c r="D317"/>
      <c r="E317"/>
      <c r="F317"/>
      <c r="G317" s="16"/>
      <c r="H317" s="16"/>
      <c r="I317" s="16"/>
      <c r="J317" s="16"/>
      <c r="K317" s="16"/>
      <c r="L317" s="16"/>
      <c r="AS317"/>
      <c r="AT317"/>
      <c r="AU317"/>
      <c r="AV317"/>
      <c r="AW317"/>
      <c r="AX317"/>
    </row>
    <row r="318" spans="1:50">
      <c r="A318"/>
      <c r="B318"/>
      <c r="C318"/>
      <c r="D318"/>
      <c r="E318"/>
      <c r="F318"/>
      <c r="G318" s="16"/>
      <c r="H318" s="16"/>
      <c r="I318" s="16"/>
      <c r="J318" s="16"/>
      <c r="K318" s="16"/>
      <c r="L318" s="16"/>
      <c r="AS318"/>
      <c r="AT318"/>
      <c r="AU318"/>
      <c r="AV318"/>
      <c r="AW318"/>
      <c r="AX318"/>
    </row>
    <row r="319" spans="1:50">
      <c r="A319"/>
      <c r="B319"/>
      <c r="C319"/>
      <c r="D319"/>
      <c r="E319"/>
      <c r="F319"/>
      <c r="G319" s="16"/>
      <c r="H319" s="16"/>
      <c r="I319" s="16"/>
      <c r="J319" s="16"/>
      <c r="K319" s="16"/>
      <c r="L319" s="16"/>
      <c r="AS319"/>
      <c r="AT319"/>
      <c r="AU319"/>
      <c r="AV319"/>
      <c r="AW319"/>
      <c r="AX319"/>
    </row>
    <row r="320" spans="1:50">
      <c r="A320"/>
      <c r="B320"/>
      <c r="C320"/>
      <c r="D320"/>
      <c r="E320"/>
      <c r="F320"/>
      <c r="G320" s="16"/>
      <c r="H320" s="16"/>
      <c r="I320" s="16"/>
      <c r="J320" s="16"/>
      <c r="K320" s="16"/>
      <c r="L320" s="16"/>
      <c r="AS320"/>
      <c r="AT320"/>
      <c r="AU320"/>
      <c r="AV320"/>
      <c r="AW320"/>
      <c r="AX320"/>
    </row>
    <row r="321" spans="1:50">
      <c r="A321"/>
      <c r="B321"/>
      <c r="C321"/>
      <c r="D321"/>
      <c r="E321"/>
      <c r="F321"/>
      <c r="G321" s="16"/>
      <c r="H321" s="16"/>
      <c r="I321" s="16"/>
      <c r="J321" s="16"/>
      <c r="K321" s="16"/>
      <c r="L321" s="16"/>
      <c r="AS321"/>
      <c r="AT321"/>
      <c r="AU321"/>
      <c r="AV321"/>
      <c r="AW321"/>
      <c r="AX321"/>
    </row>
    <row r="322" spans="1:50">
      <c r="A322"/>
      <c r="B322"/>
      <c r="C322"/>
      <c r="D322"/>
      <c r="E322"/>
      <c r="F322"/>
      <c r="G322" s="16"/>
      <c r="H322" s="16"/>
      <c r="I322" s="16"/>
      <c r="J322" s="16"/>
      <c r="K322" s="16"/>
      <c r="L322" s="16"/>
      <c r="AS322"/>
      <c r="AT322"/>
      <c r="AU322"/>
      <c r="AV322"/>
      <c r="AW322"/>
      <c r="AX322"/>
    </row>
    <row r="323" spans="1:50">
      <c r="A323"/>
      <c r="B323"/>
      <c r="C323"/>
      <c r="D323"/>
      <c r="E323"/>
      <c r="F323"/>
      <c r="G323" s="16"/>
      <c r="H323" s="16"/>
      <c r="I323" s="16"/>
      <c r="J323" s="16"/>
      <c r="K323" s="16"/>
      <c r="L323" s="16"/>
      <c r="AS323"/>
      <c r="AT323"/>
      <c r="AU323"/>
      <c r="AV323"/>
      <c r="AW323"/>
      <c r="AX323"/>
    </row>
    <row r="324" spans="1:50">
      <c r="A324"/>
      <c r="B324"/>
      <c r="C324"/>
      <c r="D324"/>
      <c r="E324"/>
      <c r="F324"/>
      <c r="G324" s="16"/>
      <c r="H324" s="16"/>
      <c r="I324" s="16"/>
      <c r="J324" s="16"/>
      <c r="K324" s="16"/>
      <c r="L324" s="16"/>
      <c r="AS324"/>
      <c r="AT324"/>
      <c r="AU324"/>
      <c r="AV324"/>
      <c r="AW324"/>
      <c r="AX324"/>
    </row>
    <row r="325" spans="1:50">
      <c r="A325"/>
      <c r="B325"/>
      <c r="C325"/>
      <c r="D325"/>
      <c r="E325"/>
      <c r="F325"/>
      <c r="G325" s="16"/>
      <c r="H325" s="16"/>
      <c r="I325" s="16"/>
      <c r="J325" s="16"/>
      <c r="K325" s="16"/>
      <c r="L325" s="16"/>
      <c r="AS325"/>
      <c r="AT325"/>
      <c r="AU325"/>
      <c r="AV325"/>
      <c r="AW325"/>
      <c r="AX325"/>
    </row>
    <row r="326" spans="1:50">
      <c r="A326"/>
      <c r="B326"/>
      <c r="C326"/>
      <c r="D326"/>
      <c r="E326"/>
      <c r="F326"/>
      <c r="G326" s="16"/>
      <c r="H326" s="16"/>
      <c r="I326" s="16"/>
      <c r="J326" s="16"/>
      <c r="K326" s="16"/>
      <c r="L326" s="16"/>
      <c r="AS326"/>
      <c r="AT326"/>
      <c r="AU326"/>
      <c r="AV326"/>
      <c r="AW326"/>
      <c r="AX326"/>
    </row>
    <row r="327" spans="1:50">
      <c r="A327"/>
      <c r="B327"/>
      <c r="C327"/>
      <c r="D327"/>
      <c r="E327"/>
      <c r="F327"/>
      <c r="G327" s="16"/>
      <c r="H327" s="16"/>
      <c r="I327" s="16"/>
      <c r="J327" s="16"/>
      <c r="K327" s="16"/>
      <c r="L327" s="16"/>
      <c r="AS327"/>
      <c r="AT327"/>
      <c r="AU327"/>
      <c r="AV327"/>
      <c r="AW327"/>
      <c r="AX327"/>
    </row>
    <row r="328" spans="1:50">
      <c r="A328"/>
      <c r="B328"/>
      <c r="C328"/>
      <c r="D328"/>
      <c r="E328"/>
      <c r="F328"/>
      <c r="G328" s="16"/>
      <c r="H328" s="16"/>
      <c r="I328" s="16"/>
      <c r="J328" s="16"/>
      <c r="K328" s="16"/>
      <c r="L328" s="16"/>
      <c r="AS328"/>
      <c r="AT328"/>
      <c r="AU328"/>
      <c r="AV328"/>
      <c r="AW328"/>
      <c r="AX328"/>
    </row>
    <row r="329" spans="1:50">
      <c r="A329"/>
      <c r="B329"/>
      <c r="C329"/>
      <c r="D329"/>
      <c r="E329"/>
      <c r="F329"/>
      <c r="G329" s="16"/>
      <c r="H329" s="16"/>
      <c r="I329" s="16"/>
      <c r="J329" s="16"/>
      <c r="K329" s="16"/>
      <c r="L329" s="16"/>
      <c r="AS329"/>
      <c r="AT329"/>
      <c r="AU329"/>
      <c r="AV329"/>
      <c r="AW329"/>
      <c r="AX329"/>
    </row>
    <row r="330" spans="1:50">
      <c r="A330"/>
      <c r="B330"/>
      <c r="C330"/>
      <c r="D330"/>
      <c r="E330"/>
      <c r="F330"/>
      <c r="G330" s="16"/>
      <c r="H330" s="16"/>
      <c r="I330" s="16"/>
      <c r="J330" s="16"/>
      <c r="K330" s="16"/>
      <c r="L330" s="16"/>
      <c r="AS330"/>
      <c r="AT330"/>
      <c r="AU330"/>
      <c r="AV330"/>
      <c r="AW330"/>
      <c r="AX330"/>
    </row>
    <row r="331" spans="1:50">
      <c r="A331"/>
      <c r="B331"/>
      <c r="C331"/>
      <c r="D331"/>
      <c r="E331"/>
      <c r="F331"/>
      <c r="G331" s="16"/>
      <c r="H331" s="16"/>
      <c r="I331" s="16"/>
      <c r="J331" s="16"/>
      <c r="K331" s="16"/>
      <c r="L331" s="16"/>
      <c r="AS331"/>
      <c r="AT331"/>
      <c r="AU331"/>
      <c r="AV331"/>
      <c r="AW331"/>
      <c r="AX331"/>
    </row>
    <row r="332" spans="1:50">
      <c r="A332"/>
      <c r="B332"/>
      <c r="C332"/>
      <c r="D332"/>
      <c r="E332"/>
      <c r="F332"/>
      <c r="G332" s="16"/>
      <c r="H332" s="16"/>
      <c r="I332" s="16"/>
      <c r="J332" s="16"/>
      <c r="K332" s="16"/>
      <c r="L332" s="16"/>
      <c r="AS332"/>
      <c r="AT332"/>
      <c r="AU332"/>
      <c r="AV332"/>
      <c r="AW332"/>
      <c r="AX332"/>
    </row>
    <row r="333" spans="1:50">
      <c r="A333"/>
      <c r="B333"/>
      <c r="C333"/>
      <c r="D333"/>
      <c r="E333"/>
      <c r="F333"/>
      <c r="G333" s="16"/>
      <c r="H333" s="16"/>
      <c r="I333" s="16"/>
      <c r="J333" s="16"/>
      <c r="K333" s="16"/>
      <c r="L333" s="16"/>
      <c r="AS333"/>
      <c r="AT333"/>
      <c r="AU333"/>
      <c r="AV333"/>
      <c r="AW333"/>
      <c r="AX333"/>
    </row>
    <row r="334" spans="1:50">
      <c r="A334"/>
      <c r="B334"/>
      <c r="C334"/>
      <c r="D334"/>
      <c r="E334"/>
      <c r="F334"/>
      <c r="G334" s="16"/>
      <c r="H334" s="16"/>
      <c r="I334" s="16"/>
      <c r="J334" s="16"/>
      <c r="K334" s="16"/>
      <c r="L334" s="16"/>
      <c r="AS334"/>
      <c r="AT334"/>
      <c r="AU334"/>
      <c r="AV334"/>
      <c r="AW334"/>
      <c r="AX334"/>
    </row>
    <row r="335" spans="1:50">
      <c r="A335"/>
      <c r="B335"/>
      <c r="C335"/>
      <c r="D335"/>
      <c r="E335"/>
      <c r="F335"/>
      <c r="G335" s="16"/>
      <c r="H335" s="16"/>
      <c r="I335" s="16"/>
      <c r="J335" s="16"/>
      <c r="K335" s="16"/>
      <c r="L335" s="16"/>
      <c r="AS335"/>
      <c r="AT335"/>
      <c r="AU335"/>
      <c r="AV335"/>
      <c r="AW335"/>
      <c r="AX335"/>
    </row>
    <row r="336" spans="1:50">
      <c r="A336"/>
      <c r="B336"/>
      <c r="C336"/>
      <c r="D336"/>
      <c r="E336"/>
      <c r="F336"/>
      <c r="G336" s="16"/>
      <c r="H336" s="16"/>
      <c r="I336" s="16"/>
      <c r="J336" s="16"/>
      <c r="K336" s="16"/>
      <c r="L336" s="16"/>
      <c r="AS336"/>
      <c r="AT336"/>
      <c r="AU336"/>
      <c r="AV336"/>
      <c r="AW336"/>
      <c r="AX336"/>
    </row>
    <row r="337" spans="1:50">
      <c r="A337"/>
      <c r="B337"/>
      <c r="C337"/>
      <c r="D337"/>
      <c r="E337"/>
      <c r="F337"/>
      <c r="G337" s="16"/>
      <c r="H337" s="16"/>
      <c r="I337" s="16"/>
      <c r="J337" s="16"/>
      <c r="K337" s="16"/>
      <c r="L337" s="16"/>
      <c r="AS337"/>
      <c r="AT337"/>
      <c r="AU337"/>
      <c r="AV337"/>
      <c r="AW337"/>
      <c r="AX337"/>
    </row>
    <row r="338" spans="1:50">
      <c r="A338"/>
      <c r="B338"/>
      <c r="C338"/>
      <c r="D338"/>
      <c r="E338"/>
      <c r="F338"/>
      <c r="G338" s="16"/>
      <c r="H338" s="16"/>
      <c r="I338" s="16"/>
      <c r="J338" s="16"/>
      <c r="K338" s="16"/>
      <c r="L338" s="16"/>
      <c r="AS338"/>
      <c r="AT338"/>
      <c r="AU338"/>
      <c r="AV338"/>
      <c r="AW338"/>
      <c r="AX338"/>
    </row>
    <row r="339" spans="1:50">
      <c r="A339"/>
      <c r="B339"/>
      <c r="C339"/>
      <c r="D339"/>
      <c r="E339"/>
      <c r="F339"/>
      <c r="G339" s="16"/>
      <c r="H339" s="16"/>
      <c r="I339" s="16"/>
      <c r="J339" s="16"/>
      <c r="K339" s="16"/>
      <c r="L339" s="16"/>
      <c r="AS339"/>
      <c r="AT339"/>
      <c r="AU339"/>
      <c r="AV339"/>
      <c r="AW339"/>
      <c r="AX339"/>
    </row>
    <row r="340" spans="1:50">
      <c r="A340"/>
      <c r="B340"/>
      <c r="C340"/>
      <c r="D340"/>
      <c r="E340"/>
      <c r="F340"/>
      <c r="G340" s="16"/>
      <c r="H340" s="16"/>
      <c r="I340" s="16"/>
      <c r="J340" s="16"/>
      <c r="K340" s="16"/>
      <c r="L340" s="16"/>
      <c r="AS340"/>
      <c r="AT340"/>
      <c r="AU340"/>
      <c r="AV340"/>
      <c r="AW340"/>
      <c r="AX340"/>
    </row>
    <row r="341" spans="1:50">
      <c r="A341"/>
      <c r="B341"/>
      <c r="C341"/>
      <c r="D341"/>
      <c r="E341"/>
      <c r="F341"/>
      <c r="G341" s="16"/>
      <c r="H341" s="16"/>
      <c r="I341" s="16"/>
      <c r="J341" s="16"/>
      <c r="K341" s="16"/>
      <c r="L341" s="16"/>
      <c r="AS341"/>
      <c r="AT341"/>
      <c r="AU341"/>
      <c r="AV341"/>
      <c r="AW341"/>
      <c r="AX341"/>
    </row>
    <row r="342" spans="1:50">
      <c r="A342"/>
      <c r="B342"/>
      <c r="C342"/>
      <c r="D342"/>
      <c r="E342"/>
      <c r="F342"/>
      <c r="G342" s="16"/>
      <c r="H342" s="16"/>
      <c r="I342" s="16"/>
      <c r="J342" s="16"/>
      <c r="K342" s="16"/>
      <c r="L342" s="16"/>
      <c r="AS342"/>
      <c r="AT342"/>
      <c r="AU342"/>
      <c r="AV342"/>
      <c r="AW342"/>
      <c r="AX342"/>
    </row>
    <row r="343" spans="1:50">
      <c r="A343"/>
      <c r="B343"/>
      <c r="C343"/>
      <c r="D343"/>
      <c r="E343"/>
      <c r="F343"/>
      <c r="G343" s="16"/>
      <c r="H343" s="16"/>
      <c r="I343" s="16"/>
      <c r="J343" s="16"/>
      <c r="K343" s="16"/>
      <c r="L343" s="16"/>
      <c r="AS343"/>
      <c r="AT343"/>
      <c r="AU343"/>
      <c r="AV343"/>
      <c r="AW343"/>
      <c r="AX343"/>
    </row>
    <row r="344" spans="1:50">
      <c r="A344"/>
      <c r="B344"/>
      <c r="C344"/>
      <c r="D344"/>
      <c r="E344"/>
      <c r="F344"/>
      <c r="G344" s="16"/>
      <c r="H344" s="16"/>
      <c r="I344" s="16"/>
      <c r="J344" s="16"/>
      <c r="K344" s="16"/>
      <c r="L344" s="16"/>
      <c r="AS344"/>
      <c r="AT344"/>
      <c r="AU344"/>
      <c r="AV344"/>
      <c r="AW344"/>
      <c r="AX344"/>
    </row>
    <row r="345" spans="1:50">
      <c r="A345"/>
      <c r="B345"/>
      <c r="C345"/>
      <c r="D345"/>
      <c r="E345"/>
      <c r="F345"/>
      <c r="G345" s="16"/>
      <c r="H345" s="16"/>
      <c r="I345" s="16"/>
      <c r="J345" s="16"/>
      <c r="K345" s="16"/>
      <c r="L345" s="16"/>
      <c r="AS345"/>
      <c r="AT345"/>
      <c r="AU345"/>
      <c r="AV345"/>
      <c r="AW345"/>
      <c r="AX345"/>
    </row>
    <row r="346" spans="1:50">
      <c r="A346"/>
      <c r="B346"/>
      <c r="C346"/>
      <c r="D346"/>
      <c r="E346"/>
      <c r="F346"/>
      <c r="G346" s="16"/>
      <c r="H346" s="16"/>
      <c r="I346" s="16"/>
      <c r="J346" s="16"/>
      <c r="K346" s="16"/>
      <c r="L346" s="16"/>
      <c r="AS346"/>
      <c r="AT346"/>
      <c r="AU346"/>
      <c r="AV346"/>
      <c r="AW346"/>
      <c r="AX346"/>
    </row>
    <row r="347" spans="1:50">
      <c r="A347"/>
      <c r="B347"/>
      <c r="C347"/>
      <c r="D347"/>
      <c r="E347"/>
      <c r="F347"/>
      <c r="G347" s="16"/>
      <c r="H347" s="16"/>
      <c r="I347" s="16"/>
      <c r="J347" s="16"/>
      <c r="K347" s="16"/>
      <c r="L347" s="16"/>
      <c r="AS347"/>
      <c r="AT347"/>
      <c r="AU347"/>
      <c r="AV347"/>
      <c r="AW347"/>
      <c r="AX347"/>
    </row>
    <row r="348" spans="1:50">
      <c r="A348"/>
      <c r="B348"/>
      <c r="C348"/>
      <c r="D348"/>
      <c r="E348"/>
      <c r="F348"/>
      <c r="G348" s="16"/>
      <c r="H348" s="16"/>
      <c r="I348" s="16"/>
      <c r="J348" s="16"/>
      <c r="K348" s="16"/>
      <c r="L348" s="16"/>
      <c r="AS348"/>
      <c r="AT348"/>
      <c r="AU348"/>
      <c r="AV348"/>
      <c r="AW348"/>
      <c r="AX348"/>
    </row>
    <row r="349" spans="1:50">
      <c r="A349"/>
      <c r="B349"/>
      <c r="C349"/>
      <c r="D349"/>
      <c r="E349"/>
      <c r="F349"/>
      <c r="G349" s="16"/>
      <c r="H349" s="16"/>
      <c r="I349" s="16"/>
      <c r="J349" s="16"/>
      <c r="K349" s="16"/>
      <c r="L349" s="16"/>
      <c r="AS349"/>
      <c r="AT349"/>
      <c r="AU349"/>
      <c r="AV349"/>
      <c r="AW349"/>
      <c r="AX349"/>
    </row>
    <row r="350" spans="1:50">
      <c r="A350"/>
      <c r="B350"/>
      <c r="C350"/>
      <c r="D350"/>
      <c r="E350"/>
      <c r="F350"/>
      <c r="G350" s="16"/>
      <c r="H350" s="16"/>
      <c r="I350" s="16"/>
      <c r="J350" s="16"/>
      <c r="K350" s="16"/>
      <c r="L350" s="16"/>
      <c r="AS350"/>
      <c r="AT350"/>
      <c r="AU350"/>
      <c r="AV350"/>
      <c r="AW350"/>
      <c r="AX350"/>
    </row>
    <row r="351" spans="1:50">
      <c r="A351"/>
      <c r="B351"/>
      <c r="C351"/>
      <c r="D351"/>
      <c r="E351"/>
      <c r="F351"/>
      <c r="G351" s="16"/>
      <c r="H351" s="16"/>
      <c r="I351" s="16"/>
      <c r="J351" s="16"/>
      <c r="K351" s="16"/>
      <c r="L351" s="16"/>
      <c r="AS351"/>
      <c r="AT351"/>
      <c r="AU351"/>
      <c r="AV351"/>
      <c r="AW351"/>
      <c r="AX351"/>
    </row>
    <row r="352" spans="1:50">
      <c r="A352"/>
      <c r="B352"/>
      <c r="C352"/>
      <c r="D352"/>
      <c r="E352"/>
      <c r="F352"/>
      <c r="G352" s="16"/>
      <c r="H352" s="16"/>
      <c r="I352" s="16"/>
      <c r="J352" s="16"/>
      <c r="K352" s="16"/>
      <c r="L352" s="16"/>
      <c r="AS352"/>
      <c r="AT352"/>
      <c r="AU352"/>
      <c r="AV352"/>
      <c r="AW352"/>
      <c r="AX352"/>
    </row>
    <row r="353" spans="1:50">
      <c r="A353"/>
      <c r="B353"/>
      <c r="C353"/>
      <c r="D353"/>
      <c r="E353"/>
      <c r="F353"/>
      <c r="G353" s="16"/>
      <c r="H353" s="16"/>
      <c r="I353" s="16"/>
      <c r="J353" s="16"/>
      <c r="K353" s="16"/>
      <c r="L353" s="16"/>
      <c r="AS353"/>
      <c r="AT353"/>
      <c r="AU353"/>
      <c r="AV353"/>
      <c r="AW353"/>
      <c r="AX353"/>
    </row>
    <row r="354" spans="1:50">
      <c r="A354"/>
      <c r="B354"/>
      <c r="C354"/>
      <c r="D354"/>
      <c r="E354"/>
      <c r="F354"/>
      <c r="G354" s="16"/>
      <c r="H354" s="16"/>
      <c r="I354" s="16"/>
      <c r="J354" s="16"/>
      <c r="K354" s="16"/>
      <c r="L354" s="16"/>
      <c r="AS354"/>
      <c r="AT354"/>
      <c r="AU354"/>
      <c r="AV354"/>
      <c r="AW354"/>
      <c r="AX354"/>
    </row>
    <row r="355" spans="1:50">
      <c r="A355"/>
      <c r="B355"/>
      <c r="C355"/>
      <c r="D355"/>
      <c r="E355"/>
      <c r="F355"/>
      <c r="G355" s="16"/>
      <c r="H355" s="16"/>
      <c r="I355" s="16"/>
      <c r="J355" s="16"/>
      <c r="K355" s="16"/>
      <c r="L355" s="16"/>
      <c r="AS355"/>
      <c r="AT355"/>
      <c r="AU355"/>
      <c r="AV355"/>
      <c r="AW355"/>
      <c r="AX355"/>
    </row>
    <row r="356" spans="1:50">
      <c r="A356"/>
      <c r="B356"/>
      <c r="C356"/>
      <c r="D356"/>
      <c r="E356"/>
      <c r="F356"/>
      <c r="G356" s="16"/>
      <c r="H356" s="16"/>
      <c r="I356" s="16"/>
      <c r="J356" s="16"/>
      <c r="K356" s="16"/>
      <c r="L356" s="16"/>
      <c r="AS356"/>
      <c r="AT356"/>
      <c r="AU356"/>
      <c r="AV356"/>
      <c r="AW356"/>
      <c r="AX356"/>
    </row>
    <row r="357" spans="1:50">
      <c r="A357"/>
      <c r="B357"/>
      <c r="C357"/>
      <c r="D357"/>
      <c r="E357"/>
      <c r="F357"/>
      <c r="G357" s="16"/>
      <c r="H357" s="16"/>
      <c r="I357" s="16"/>
      <c r="J357" s="16"/>
      <c r="K357" s="16"/>
      <c r="L357" s="16"/>
      <c r="AS357"/>
      <c r="AT357"/>
      <c r="AU357"/>
      <c r="AV357"/>
      <c r="AW357"/>
      <c r="AX357"/>
    </row>
    <row r="358" spans="1:50">
      <c r="A358"/>
      <c r="B358"/>
      <c r="C358"/>
      <c r="D358"/>
      <c r="E358"/>
      <c r="F358"/>
      <c r="G358" s="16"/>
      <c r="H358" s="16"/>
      <c r="I358" s="16"/>
      <c r="J358" s="16"/>
      <c r="K358" s="16"/>
      <c r="L358" s="16"/>
      <c r="AS358"/>
      <c r="AT358"/>
      <c r="AU358"/>
      <c r="AV358"/>
      <c r="AW358"/>
      <c r="AX358"/>
    </row>
    <row r="359" spans="1:50">
      <c r="A359"/>
      <c r="B359"/>
      <c r="C359"/>
      <c r="D359"/>
      <c r="E359"/>
      <c r="F359"/>
      <c r="G359" s="16"/>
      <c r="H359" s="16"/>
      <c r="I359" s="16"/>
      <c r="J359" s="16"/>
      <c r="K359" s="16"/>
      <c r="L359" s="16"/>
      <c r="AS359"/>
      <c r="AT359"/>
      <c r="AU359"/>
      <c r="AV359"/>
      <c r="AW359"/>
      <c r="AX359"/>
    </row>
    <row r="360" spans="1:50">
      <c r="A360"/>
      <c r="B360"/>
      <c r="C360"/>
      <c r="D360"/>
      <c r="E360"/>
      <c r="F360"/>
      <c r="G360" s="16"/>
      <c r="H360" s="16"/>
      <c r="I360" s="16"/>
      <c r="J360" s="16"/>
      <c r="K360" s="16"/>
      <c r="L360" s="16"/>
      <c r="AS360"/>
      <c r="AT360"/>
      <c r="AU360"/>
      <c r="AV360"/>
      <c r="AW360"/>
      <c r="AX360"/>
    </row>
    <row r="361" spans="1:50">
      <c r="A361"/>
      <c r="B361"/>
      <c r="C361"/>
      <c r="D361"/>
      <c r="E361"/>
      <c r="F361"/>
      <c r="G361" s="16"/>
      <c r="H361" s="16"/>
      <c r="I361" s="16"/>
      <c r="J361" s="16"/>
      <c r="K361" s="16"/>
      <c r="L361" s="16"/>
      <c r="AS361"/>
      <c r="AT361"/>
      <c r="AU361"/>
      <c r="AV361"/>
      <c r="AW361"/>
      <c r="AX361"/>
    </row>
    <row r="362" spans="1:50">
      <c r="A362"/>
      <c r="B362"/>
      <c r="C362"/>
      <c r="D362"/>
      <c r="E362"/>
      <c r="F362"/>
      <c r="G362" s="16"/>
      <c r="H362" s="16"/>
      <c r="I362" s="16"/>
      <c r="J362" s="16"/>
      <c r="K362" s="16"/>
      <c r="L362" s="16"/>
      <c r="AS362"/>
      <c r="AT362"/>
      <c r="AU362"/>
      <c r="AV362"/>
      <c r="AW362"/>
      <c r="AX362"/>
    </row>
    <row r="363" spans="1:50">
      <c r="A363"/>
      <c r="B363"/>
      <c r="C363"/>
      <c r="D363"/>
      <c r="E363"/>
      <c r="F363"/>
      <c r="G363" s="16"/>
      <c r="H363" s="16"/>
      <c r="I363" s="16"/>
      <c r="J363" s="16"/>
      <c r="K363" s="16"/>
      <c r="L363" s="16"/>
      <c r="AS363"/>
      <c r="AT363"/>
      <c r="AU363"/>
      <c r="AV363"/>
      <c r="AW363"/>
      <c r="AX363"/>
    </row>
    <row r="364" spans="1:50">
      <c r="A364"/>
      <c r="B364"/>
      <c r="C364"/>
      <c r="D364"/>
      <c r="E364"/>
      <c r="F364"/>
      <c r="G364" s="16"/>
      <c r="H364" s="16"/>
      <c r="I364" s="16"/>
      <c r="J364" s="16"/>
      <c r="K364" s="16"/>
      <c r="L364" s="16"/>
      <c r="AS364"/>
      <c r="AT364"/>
      <c r="AU364"/>
      <c r="AV364"/>
      <c r="AW364"/>
      <c r="AX364"/>
    </row>
    <row r="365" spans="1:50">
      <c r="A365"/>
      <c r="B365"/>
      <c r="C365"/>
      <c r="D365"/>
      <c r="E365"/>
      <c r="F365"/>
      <c r="G365" s="16"/>
      <c r="H365" s="16"/>
      <c r="I365" s="16"/>
      <c r="J365" s="16"/>
      <c r="K365" s="16"/>
      <c r="L365" s="16"/>
      <c r="AS365"/>
      <c r="AT365"/>
      <c r="AU365"/>
      <c r="AV365"/>
      <c r="AW365"/>
      <c r="AX365"/>
    </row>
    <row r="366" spans="1:50">
      <c r="A366"/>
      <c r="B366"/>
      <c r="C366"/>
      <c r="D366"/>
      <c r="E366"/>
      <c r="F366"/>
      <c r="G366" s="16"/>
      <c r="H366" s="16"/>
      <c r="I366" s="16"/>
      <c r="J366" s="16"/>
      <c r="K366" s="16"/>
      <c r="L366" s="16"/>
      <c r="AS366"/>
      <c r="AT366"/>
      <c r="AU366"/>
      <c r="AV366"/>
      <c r="AW366"/>
      <c r="AX366"/>
    </row>
    <row r="367" spans="1:50">
      <c r="A367"/>
      <c r="B367"/>
      <c r="C367"/>
      <c r="D367"/>
      <c r="E367"/>
      <c r="F367"/>
      <c r="G367" s="16"/>
      <c r="H367" s="16"/>
      <c r="I367" s="16"/>
      <c r="J367" s="16"/>
      <c r="K367" s="16"/>
      <c r="L367" s="16"/>
      <c r="AS367"/>
      <c r="AT367"/>
      <c r="AU367"/>
      <c r="AV367"/>
      <c r="AW367"/>
      <c r="AX367"/>
    </row>
    <row r="368" spans="1:50">
      <c r="A368"/>
      <c r="B368"/>
      <c r="C368"/>
      <c r="D368"/>
      <c r="E368"/>
      <c r="F368"/>
      <c r="G368" s="16"/>
      <c r="H368" s="16"/>
      <c r="I368" s="16"/>
      <c r="J368" s="16"/>
      <c r="K368" s="16"/>
      <c r="L368" s="16"/>
      <c r="AS368"/>
      <c r="AT368"/>
      <c r="AU368"/>
      <c r="AV368"/>
      <c r="AW368"/>
      <c r="AX368"/>
    </row>
    <row r="369" spans="1:50">
      <c r="A369"/>
      <c r="B369"/>
      <c r="C369"/>
      <c r="D369"/>
      <c r="E369"/>
      <c r="F369"/>
      <c r="G369" s="16"/>
      <c r="H369" s="16"/>
      <c r="I369" s="16"/>
      <c r="J369" s="16"/>
      <c r="K369" s="16"/>
      <c r="L369" s="16"/>
      <c r="AS369"/>
      <c r="AT369"/>
      <c r="AU369"/>
      <c r="AV369"/>
      <c r="AW369"/>
      <c r="AX369"/>
    </row>
    <row r="370" spans="1:50">
      <c r="A370"/>
      <c r="B370"/>
      <c r="C370"/>
      <c r="D370"/>
      <c r="E370"/>
      <c r="F370"/>
      <c r="G370" s="16"/>
      <c r="H370" s="16"/>
      <c r="I370" s="16"/>
      <c r="J370" s="16"/>
      <c r="K370" s="16"/>
      <c r="L370" s="16"/>
      <c r="AS370"/>
      <c r="AT370"/>
      <c r="AU370"/>
      <c r="AV370"/>
      <c r="AW370"/>
      <c r="AX370"/>
    </row>
    <row r="371" spans="1:50">
      <c r="A371"/>
      <c r="B371"/>
      <c r="C371"/>
      <c r="D371"/>
      <c r="E371"/>
      <c r="F371"/>
      <c r="G371" s="16"/>
      <c r="H371" s="16"/>
      <c r="I371" s="16"/>
      <c r="J371" s="16"/>
      <c r="K371" s="16"/>
      <c r="L371" s="16"/>
      <c r="AS371"/>
      <c r="AT371"/>
      <c r="AU371"/>
      <c r="AV371"/>
      <c r="AW371"/>
      <c r="AX371"/>
    </row>
    <row r="372" spans="1:50">
      <c r="A372"/>
      <c r="B372"/>
      <c r="C372"/>
      <c r="D372"/>
      <c r="E372"/>
      <c r="F372"/>
      <c r="G372" s="16"/>
      <c r="H372" s="16"/>
      <c r="I372" s="16"/>
      <c r="J372" s="16"/>
      <c r="K372" s="16"/>
      <c r="L372" s="16"/>
      <c r="AS372"/>
      <c r="AT372"/>
      <c r="AU372"/>
      <c r="AV372"/>
      <c r="AW372"/>
      <c r="AX372"/>
    </row>
    <row r="373" spans="1:50">
      <c r="A373"/>
      <c r="B373"/>
      <c r="C373"/>
      <c r="D373"/>
      <c r="E373"/>
      <c r="F373"/>
      <c r="G373" s="16"/>
      <c r="H373" s="16"/>
      <c r="I373" s="16"/>
      <c r="J373" s="16"/>
      <c r="K373" s="16"/>
      <c r="L373" s="16"/>
      <c r="AS373"/>
      <c r="AT373"/>
      <c r="AU373"/>
      <c r="AV373"/>
      <c r="AW373"/>
      <c r="AX373"/>
    </row>
    <row r="374" spans="1:50">
      <c r="A374"/>
      <c r="B374"/>
      <c r="C374"/>
      <c r="D374"/>
      <c r="E374"/>
      <c r="F374"/>
      <c r="G374" s="16"/>
      <c r="H374" s="16"/>
      <c r="I374" s="16"/>
      <c r="J374" s="16"/>
      <c r="K374" s="16"/>
      <c r="L374" s="16"/>
      <c r="AS374"/>
      <c r="AT374"/>
      <c r="AU374"/>
      <c r="AV374"/>
      <c r="AW374"/>
      <c r="AX374"/>
    </row>
    <row r="375" spans="1:50">
      <c r="A375"/>
      <c r="B375"/>
      <c r="C375"/>
      <c r="D375"/>
      <c r="E375"/>
      <c r="F375"/>
      <c r="G375" s="16"/>
      <c r="H375" s="16"/>
      <c r="I375" s="16"/>
      <c r="J375" s="16"/>
      <c r="K375" s="16"/>
      <c r="L375" s="16"/>
      <c r="AS375"/>
      <c r="AT375"/>
      <c r="AU375"/>
      <c r="AV375"/>
      <c r="AW375"/>
      <c r="AX375"/>
    </row>
    <row r="376" spans="1:50">
      <c r="A376"/>
      <c r="B376"/>
      <c r="C376"/>
      <c r="D376"/>
      <c r="E376"/>
      <c r="F376"/>
      <c r="G376" s="16"/>
      <c r="H376" s="16"/>
      <c r="I376" s="16"/>
      <c r="J376" s="16"/>
      <c r="K376" s="16"/>
      <c r="L376" s="16"/>
      <c r="AS376"/>
      <c r="AT376"/>
      <c r="AU376"/>
      <c r="AV376"/>
      <c r="AW376"/>
      <c r="AX376"/>
    </row>
    <row r="377" spans="1:50">
      <c r="A377"/>
      <c r="B377"/>
      <c r="C377"/>
      <c r="D377"/>
      <c r="E377"/>
      <c r="F377"/>
      <c r="G377" s="16"/>
      <c r="H377" s="16"/>
      <c r="I377" s="16"/>
      <c r="J377" s="16"/>
      <c r="K377" s="16"/>
      <c r="L377" s="16"/>
      <c r="AS377"/>
      <c r="AT377"/>
      <c r="AU377"/>
      <c r="AV377"/>
      <c r="AW377"/>
      <c r="AX377"/>
    </row>
    <row r="378" spans="1:50">
      <c r="A378"/>
      <c r="B378"/>
      <c r="C378"/>
      <c r="D378"/>
      <c r="E378"/>
      <c r="F378"/>
      <c r="G378" s="16"/>
      <c r="H378" s="16"/>
      <c r="I378" s="16"/>
      <c r="J378" s="16"/>
      <c r="K378" s="16"/>
      <c r="L378" s="16"/>
      <c r="AS378"/>
      <c r="AT378"/>
      <c r="AU378"/>
      <c r="AV378"/>
      <c r="AW378"/>
      <c r="AX378"/>
    </row>
    <row r="379" spans="1:50">
      <c r="A379"/>
      <c r="B379"/>
      <c r="C379"/>
      <c r="D379"/>
      <c r="E379"/>
      <c r="F379"/>
      <c r="G379" s="16"/>
      <c r="H379" s="16"/>
      <c r="I379" s="16"/>
      <c r="J379" s="16"/>
      <c r="K379" s="16"/>
      <c r="L379" s="16"/>
      <c r="AS379"/>
      <c r="AT379"/>
      <c r="AU379"/>
      <c r="AV379"/>
      <c r="AW379"/>
      <c r="AX379"/>
    </row>
    <row r="380" spans="1:50">
      <c r="A380"/>
      <c r="B380"/>
      <c r="C380"/>
      <c r="D380"/>
      <c r="E380"/>
      <c r="F380"/>
      <c r="G380" s="16"/>
      <c r="H380" s="16"/>
      <c r="I380" s="16"/>
      <c r="J380" s="16"/>
      <c r="K380" s="16"/>
      <c r="L380" s="16"/>
      <c r="AS380"/>
      <c r="AT380"/>
      <c r="AU380"/>
      <c r="AV380"/>
      <c r="AW380"/>
      <c r="AX380"/>
    </row>
    <row r="381" spans="1:50">
      <c r="A381"/>
      <c r="B381"/>
      <c r="C381"/>
      <c r="D381"/>
      <c r="E381"/>
      <c r="F381"/>
      <c r="G381" s="16"/>
      <c r="H381" s="16"/>
      <c r="I381" s="16"/>
      <c r="J381" s="16"/>
      <c r="K381" s="16"/>
      <c r="L381" s="16"/>
      <c r="AS381"/>
      <c r="AT381"/>
      <c r="AU381"/>
      <c r="AV381"/>
      <c r="AW381"/>
      <c r="AX381"/>
    </row>
    <row r="382" spans="1:50">
      <c r="A382"/>
      <c r="B382"/>
      <c r="C382"/>
      <c r="D382"/>
      <c r="E382"/>
      <c r="F382"/>
      <c r="G382" s="16"/>
      <c r="H382" s="16"/>
      <c r="I382" s="16"/>
      <c r="J382" s="16"/>
      <c r="K382" s="16"/>
      <c r="L382" s="16"/>
      <c r="AS382"/>
      <c r="AT382"/>
      <c r="AU382"/>
      <c r="AV382"/>
      <c r="AW382"/>
      <c r="AX382"/>
    </row>
    <row r="383" spans="1:50">
      <c r="A383"/>
      <c r="B383"/>
      <c r="C383"/>
      <c r="D383"/>
      <c r="E383"/>
      <c r="F383"/>
      <c r="G383" s="16"/>
      <c r="H383" s="16"/>
      <c r="I383" s="16"/>
      <c r="J383" s="16"/>
      <c r="K383" s="16"/>
      <c r="L383" s="16"/>
      <c r="AS383"/>
      <c r="AT383"/>
      <c r="AU383"/>
      <c r="AV383"/>
      <c r="AW383"/>
      <c r="AX383"/>
    </row>
    <row r="384" spans="1:50">
      <c r="A384"/>
      <c r="B384"/>
      <c r="C384"/>
      <c r="D384"/>
      <c r="E384"/>
      <c r="F384"/>
      <c r="G384" s="16"/>
      <c r="H384" s="16"/>
      <c r="I384" s="16"/>
      <c r="J384" s="16"/>
      <c r="K384" s="16"/>
      <c r="L384" s="16"/>
      <c r="AS384"/>
      <c r="AT384"/>
      <c r="AU384"/>
      <c r="AV384"/>
      <c r="AW384"/>
      <c r="AX384"/>
    </row>
    <row r="385" spans="1:50">
      <c r="A385"/>
      <c r="B385"/>
      <c r="C385"/>
      <c r="D385"/>
      <c r="E385"/>
      <c r="F385"/>
      <c r="G385" s="16"/>
      <c r="H385" s="16"/>
      <c r="I385" s="16"/>
      <c r="J385" s="16"/>
      <c r="K385" s="16"/>
      <c r="L385" s="16"/>
      <c r="AS385"/>
      <c r="AT385"/>
      <c r="AU385"/>
      <c r="AV385"/>
      <c r="AW385"/>
      <c r="AX385"/>
    </row>
    <row r="386" spans="1:50">
      <c r="A386"/>
      <c r="B386"/>
      <c r="C386"/>
      <c r="D386"/>
      <c r="E386"/>
      <c r="F386"/>
      <c r="G386" s="16"/>
      <c r="H386" s="16"/>
      <c r="I386" s="16"/>
      <c r="J386" s="16"/>
      <c r="K386" s="16"/>
      <c r="L386" s="16"/>
      <c r="AS386"/>
      <c r="AT386"/>
      <c r="AU386"/>
      <c r="AV386"/>
      <c r="AW386"/>
      <c r="AX386"/>
    </row>
    <row r="387" spans="1:50">
      <c r="A387"/>
      <c r="B387"/>
      <c r="C387"/>
      <c r="D387"/>
      <c r="E387"/>
      <c r="F387"/>
      <c r="G387" s="16"/>
      <c r="H387" s="16"/>
      <c r="I387" s="16"/>
      <c r="J387" s="16"/>
      <c r="K387" s="16"/>
      <c r="L387" s="16"/>
      <c r="AS387"/>
      <c r="AT387"/>
      <c r="AU387"/>
      <c r="AV387"/>
      <c r="AW387"/>
      <c r="AX387"/>
    </row>
    <row r="388" spans="1:50">
      <c r="A388"/>
      <c r="B388"/>
      <c r="C388"/>
      <c r="D388"/>
      <c r="E388"/>
      <c r="F388"/>
      <c r="G388" s="16"/>
      <c r="H388" s="16"/>
      <c r="I388" s="16"/>
      <c r="J388" s="16"/>
      <c r="K388" s="16"/>
      <c r="L388" s="16"/>
      <c r="AS388"/>
      <c r="AT388"/>
      <c r="AU388"/>
      <c r="AV388"/>
      <c r="AW388"/>
      <c r="AX388"/>
    </row>
    <row r="389" spans="1:50">
      <c r="A389"/>
      <c r="B389"/>
      <c r="C389"/>
      <c r="D389"/>
      <c r="E389"/>
      <c r="F389"/>
      <c r="G389" s="16"/>
      <c r="H389" s="16"/>
      <c r="I389" s="16"/>
      <c r="J389" s="16"/>
      <c r="K389" s="16"/>
      <c r="L389" s="16"/>
      <c r="AS389"/>
      <c r="AT389"/>
      <c r="AU389"/>
      <c r="AV389"/>
      <c r="AW389"/>
      <c r="AX389"/>
    </row>
    <row r="390" spans="1:50">
      <c r="A390"/>
      <c r="B390"/>
      <c r="C390"/>
      <c r="D390"/>
      <c r="E390"/>
      <c r="F390"/>
      <c r="G390" s="16"/>
      <c r="H390" s="16"/>
      <c r="I390" s="16"/>
      <c r="J390" s="16"/>
      <c r="K390" s="16"/>
      <c r="L390" s="16"/>
      <c r="AS390"/>
      <c r="AT390"/>
      <c r="AU390"/>
      <c r="AV390"/>
      <c r="AW390"/>
      <c r="AX390"/>
    </row>
    <row r="391" spans="1:50">
      <c r="A391"/>
      <c r="B391"/>
      <c r="C391"/>
      <c r="D391"/>
      <c r="E391"/>
      <c r="F391"/>
      <c r="G391" s="16"/>
      <c r="H391" s="16"/>
      <c r="I391" s="16"/>
      <c r="J391" s="16"/>
      <c r="K391" s="16"/>
      <c r="L391" s="16"/>
      <c r="AS391"/>
      <c r="AT391"/>
      <c r="AU391"/>
      <c r="AV391"/>
      <c r="AW391"/>
      <c r="AX391"/>
    </row>
    <row r="392" spans="1:50">
      <c r="A392"/>
      <c r="B392"/>
      <c r="C392"/>
      <c r="D392"/>
      <c r="E392"/>
      <c r="F392"/>
      <c r="G392" s="16"/>
      <c r="H392" s="16"/>
      <c r="I392" s="16"/>
      <c r="J392" s="16"/>
      <c r="K392" s="16"/>
      <c r="L392" s="16"/>
      <c r="AS392"/>
      <c r="AT392"/>
      <c r="AU392"/>
      <c r="AV392"/>
      <c r="AW392"/>
      <c r="AX392"/>
    </row>
    <row r="393" spans="1:50">
      <c r="A393"/>
      <c r="B393"/>
      <c r="C393"/>
      <c r="D393"/>
      <c r="E393"/>
      <c r="F393"/>
      <c r="G393" s="16"/>
      <c r="H393" s="16"/>
      <c r="I393" s="16"/>
      <c r="J393" s="16"/>
      <c r="K393" s="16"/>
      <c r="L393" s="16"/>
      <c r="AS393"/>
      <c r="AT393"/>
      <c r="AU393"/>
      <c r="AV393"/>
      <c r="AW393"/>
      <c r="AX393"/>
    </row>
    <row r="394" spans="1:50">
      <c r="A394"/>
      <c r="B394"/>
      <c r="C394"/>
      <c r="D394"/>
      <c r="E394"/>
      <c r="F394"/>
      <c r="G394" s="16"/>
      <c r="H394" s="16"/>
      <c r="I394" s="16"/>
      <c r="J394" s="16"/>
      <c r="K394" s="16"/>
      <c r="L394" s="16"/>
      <c r="AS394"/>
      <c r="AT394"/>
      <c r="AU394"/>
      <c r="AV394"/>
      <c r="AW394"/>
      <c r="AX394"/>
    </row>
    <row r="395" spans="1:50">
      <c r="A395"/>
      <c r="B395"/>
      <c r="C395"/>
      <c r="D395"/>
      <c r="E395"/>
      <c r="F395"/>
      <c r="G395" s="16"/>
      <c r="H395" s="16"/>
      <c r="I395" s="16"/>
      <c r="J395" s="16"/>
      <c r="K395" s="16"/>
      <c r="L395" s="16"/>
      <c r="AS395"/>
      <c r="AT395"/>
      <c r="AU395"/>
      <c r="AV395"/>
      <c r="AW395"/>
      <c r="AX395"/>
    </row>
    <row r="396" spans="1:50">
      <c r="A396"/>
      <c r="B396"/>
      <c r="C396"/>
      <c r="D396"/>
      <c r="E396"/>
      <c r="F396"/>
      <c r="G396" s="16"/>
      <c r="H396" s="16"/>
      <c r="I396" s="16"/>
      <c r="J396" s="16"/>
      <c r="K396" s="16"/>
      <c r="L396" s="16"/>
      <c r="AS396"/>
      <c r="AT396"/>
      <c r="AU396"/>
      <c r="AV396"/>
      <c r="AW396"/>
      <c r="AX396"/>
    </row>
    <row r="397" spans="1:50">
      <c r="A397"/>
      <c r="B397"/>
      <c r="C397"/>
      <c r="D397"/>
      <c r="E397"/>
      <c r="F397"/>
      <c r="G397" s="16"/>
      <c r="H397" s="16"/>
      <c r="I397" s="16"/>
      <c r="J397" s="16"/>
      <c r="K397" s="16"/>
      <c r="L397" s="16"/>
      <c r="AS397"/>
      <c r="AT397"/>
      <c r="AU397"/>
      <c r="AV397"/>
      <c r="AW397"/>
      <c r="AX397"/>
    </row>
    <row r="398" spans="1:50">
      <c r="A398"/>
      <c r="B398"/>
      <c r="C398"/>
      <c r="D398"/>
      <c r="E398"/>
      <c r="F398"/>
      <c r="G398" s="16"/>
      <c r="H398" s="16"/>
      <c r="I398" s="16"/>
      <c r="J398" s="16"/>
      <c r="K398" s="16"/>
      <c r="L398" s="16"/>
      <c r="AS398"/>
      <c r="AT398"/>
      <c r="AU398"/>
      <c r="AV398"/>
      <c r="AW398"/>
      <c r="AX398"/>
    </row>
    <row r="399" spans="1:50">
      <c r="A399"/>
      <c r="B399"/>
      <c r="C399"/>
      <c r="D399"/>
      <c r="E399"/>
      <c r="F399"/>
      <c r="G399" s="16"/>
      <c r="H399" s="16"/>
      <c r="I399" s="16"/>
      <c r="J399" s="16"/>
      <c r="K399" s="16"/>
      <c r="L399" s="16"/>
      <c r="AS399"/>
      <c r="AT399"/>
      <c r="AU399"/>
      <c r="AV399"/>
      <c r="AW399"/>
      <c r="AX399"/>
    </row>
    <row r="400" spans="1:50">
      <c r="A400"/>
      <c r="B400"/>
      <c r="C400"/>
      <c r="D400"/>
      <c r="E400"/>
      <c r="F400"/>
      <c r="G400" s="16"/>
      <c r="H400" s="16"/>
      <c r="I400" s="16"/>
      <c r="J400" s="16"/>
      <c r="K400" s="16"/>
      <c r="L400" s="16"/>
      <c r="AS400"/>
      <c r="AT400"/>
      <c r="AU400"/>
      <c r="AV400"/>
      <c r="AW400"/>
      <c r="AX400"/>
    </row>
    <row r="401" spans="1:50">
      <c r="A401"/>
      <c r="B401"/>
      <c r="C401"/>
      <c r="D401"/>
      <c r="E401"/>
      <c r="F401"/>
      <c r="G401" s="16"/>
      <c r="H401" s="16"/>
      <c r="I401" s="16"/>
      <c r="J401" s="16"/>
      <c r="K401" s="16"/>
      <c r="L401" s="16"/>
      <c r="AS401"/>
      <c r="AT401"/>
      <c r="AU401"/>
      <c r="AV401"/>
      <c r="AW401"/>
      <c r="AX401"/>
    </row>
    <row r="402" spans="1:50">
      <c r="A402"/>
      <c r="B402"/>
      <c r="C402"/>
      <c r="D402"/>
      <c r="E402"/>
      <c r="F402"/>
      <c r="G402" s="16"/>
      <c r="H402" s="16"/>
      <c r="I402" s="16"/>
      <c r="J402" s="16"/>
      <c r="K402" s="16"/>
      <c r="L402" s="16"/>
      <c r="AS402"/>
      <c r="AT402"/>
      <c r="AU402"/>
      <c r="AV402"/>
      <c r="AW402"/>
      <c r="AX402"/>
    </row>
    <row r="403" spans="1:50">
      <c r="A403"/>
      <c r="B403"/>
      <c r="C403"/>
      <c r="D403"/>
      <c r="E403"/>
      <c r="F403"/>
      <c r="G403" s="16"/>
      <c r="H403" s="16"/>
      <c r="I403" s="16"/>
      <c r="J403" s="16"/>
      <c r="K403" s="16"/>
      <c r="L403" s="16"/>
      <c r="AS403"/>
      <c r="AT403"/>
      <c r="AU403"/>
      <c r="AV403"/>
      <c r="AW403"/>
      <c r="AX403"/>
    </row>
    <row r="404" spans="1:50">
      <c r="A404"/>
      <c r="B404"/>
      <c r="C404"/>
      <c r="D404"/>
      <c r="E404"/>
      <c r="F404"/>
      <c r="G404" s="16"/>
      <c r="H404" s="16"/>
      <c r="I404" s="16"/>
      <c r="J404" s="16"/>
      <c r="K404" s="16"/>
      <c r="L404" s="16"/>
      <c r="AS404"/>
      <c r="AT404"/>
      <c r="AU404"/>
      <c r="AV404"/>
      <c r="AW404"/>
      <c r="AX404"/>
    </row>
    <row r="405" spans="1:50">
      <c r="A405"/>
      <c r="B405"/>
      <c r="C405"/>
      <c r="D405"/>
      <c r="E405"/>
      <c r="F405"/>
      <c r="G405" s="16"/>
      <c r="H405" s="16"/>
      <c r="I405" s="16"/>
      <c r="J405" s="16"/>
      <c r="K405" s="16"/>
      <c r="L405" s="16"/>
      <c r="AS405"/>
      <c r="AT405"/>
      <c r="AU405"/>
      <c r="AV405"/>
      <c r="AW405"/>
      <c r="AX405"/>
    </row>
    <row r="406" spans="1:50">
      <c r="A406"/>
      <c r="B406"/>
      <c r="C406"/>
      <c r="D406"/>
      <c r="E406"/>
      <c r="F406"/>
      <c r="G406" s="16"/>
      <c r="H406" s="16"/>
      <c r="I406" s="16"/>
      <c r="J406" s="16"/>
      <c r="K406" s="16"/>
      <c r="L406" s="16"/>
      <c r="AS406"/>
      <c r="AT406"/>
      <c r="AU406"/>
      <c r="AV406"/>
      <c r="AW406"/>
      <c r="AX406"/>
    </row>
    <row r="407" spans="1:50">
      <c r="A407"/>
      <c r="B407"/>
      <c r="C407"/>
      <c r="D407"/>
      <c r="E407"/>
      <c r="F407"/>
      <c r="G407" s="16"/>
      <c r="H407" s="16"/>
      <c r="I407" s="16"/>
      <c r="J407" s="16"/>
      <c r="K407" s="16"/>
      <c r="L407" s="16"/>
      <c r="AS407"/>
      <c r="AT407"/>
      <c r="AU407"/>
      <c r="AV407"/>
      <c r="AW407"/>
      <c r="AX407"/>
    </row>
    <row r="408" spans="1:50">
      <c r="A408"/>
      <c r="B408"/>
      <c r="C408"/>
      <c r="D408"/>
      <c r="E408"/>
      <c r="F408"/>
      <c r="G408" s="16"/>
      <c r="H408" s="16"/>
      <c r="I408" s="16"/>
      <c r="J408" s="16"/>
      <c r="K408" s="16"/>
      <c r="L408" s="16"/>
      <c r="AS408"/>
      <c r="AT408"/>
      <c r="AU408"/>
      <c r="AV408"/>
      <c r="AW408"/>
      <c r="AX408"/>
    </row>
    <row r="409" spans="1:50">
      <c r="A409"/>
      <c r="B409"/>
      <c r="C409"/>
      <c r="D409"/>
      <c r="E409"/>
      <c r="F409"/>
      <c r="G409" s="16"/>
      <c r="H409" s="16"/>
      <c r="I409" s="16"/>
      <c r="J409" s="16"/>
      <c r="K409" s="16"/>
      <c r="L409" s="16"/>
      <c r="AS409"/>
      <c r="AT409"/>
      <c r="AU409"/>
      <c r="AV409"/>
      <c r="AW409"/>
      <c r="AX409"/>
    </row>
    <row r="410" spans="1:50">
      <c r="A410"/>
      <c r="B410"/>
      <c r="C410"/>
      <c r="D410"/>
      <c r="E410"/>
      <c r="F410"/>
      <c r="G410" s="16"/>
      <c r="H410" s="16"/>
      <c r="I410" s="16"/>
      <c r="J410" s="16"/>
      <c r="K410" s="16"/>
      <c r="L410" s="16"/>
      <c r="AS410"/>
      <c r="AT410"/>
      <c r="AU410"/>
      <c r="AV410"/>
      <c r="AW410"/>
      <c r="AX410"/>
    </row>
    <row r="411" spans="1:50">
      <c r="A411"/>
      <c r="B411"/>
      <c r="C411"/>
      <c r="D411"/>
      <c r="E411"/>
      <c r="F411"/>
      <c r="G411" s="16"/>
      <c r="H411" s="16"/>
      <c r="I411" s="16"/>
      <c r="J411" s="16"/>
      <c r="K411" s="16"/>
      <c r="L411" s="16"/>
      <c r="AS411"/>
      <c r="AT411"/>
      <c r="AU411"/>
      <c r="AV411"/>
      <c r="AW411"/>
      <c r="AX411"/>
    </row>
    <row r="412" spans="1:50">
      <c r="A412"/>
      <c r="B412"/>
      <c r="C412"/>
      <c r="D412"/>
      <c r="E412"/>
      <c r="F412"/>
      <c r="G412" s="16"/>
      <c r="H412" s="16"/>
      <c r="I412" s="16"/>
      <c r="J412" s="16"/>
      <c r="K412" s="16"/>
      <c r="L412" s="16"/>
      <c r="AS412"/>
      <c r="AT412"/>
      <c r="AU412"/>
      <c r="AV412"/>
      <c r="AW412"/>
      <c r="AX412"/>
    </row>
    <row r="413" spans="1:50">
      <c r="A413"/>
      <c r="B413"/>
      <c r="C413"/>
      <c r="D413"/>
      <c r="E413"/>
      <c r="F413"/>
      <c r="G413" s="16"/>
      <c r="H413" s="16"/>
      <c r="I413" s="16"/>
      <c r="J413" s="16"/>
      <c r="K413" s="16"/>
      <c r="L413" s="16"/>
      <c r="AS413"/>
      <c r="AT413"/>
      <c r="AU413"/>
      <c r="AV413"/>
      <c r="AW413"/>
      <c r="AX413"/>
    </row>
    <row r="414" spans="1:50">
      <c r="A414"/>
      <c r="B414"/>
      <c r="C414"/>
      <c r="D414"/>
      <c r="E414"/>
      <c r="F414"/>
      <c r="G414" s="16"/>
      <c r="H414" s="16"/>
      <c r="I414" s="16"/>
      <c r="J414" s="16"/>
      <c r="K414" s="16"/>
      <c r="L414" s="16"/>
      <c r="AS414"/>
      <c r="AT414"/>
      <c r="AU414"/>
      <c r="AV414"/>
      <c r="AW414"/>
      <c r="AX414"/>
    </row>
    <row r="415" spans="1:50">
      <c r="A415"/>
      <c r="B415"/>
      <c r="C415"/>
      <c r="D415"/>
      <c r="E415"/>
      <c r="F415"/>
      <c r="G415" s="16"/>
      <c r="H415" s="16"/>
      <c r="I415" s="16"/>
      <c r="J415" s="16"/>
      <c r="K415" s="16"/>
      <c r="L415" s="16"/>
      <c r="AS415"/>
      <c r="AT415"/>
      <c r="AU415"/>
      <c r="AV415"/>
      <c r="AW415"/>
      <c r="AX415"/>
    </row>
    <row r="416" spans="1:50">
      <c r="A416"/>
      <c r="B416"/>
      <c r="C416"/>
      <c r="D416"/>
      <c r="E416"/>
      <c r="F416"/>
      <c r="G416" s="16"/>
      <c r="H416" s="16"/>
      <c r="I416" s="16"/>
      <c r="J416" s="16"/>
      <c r="K416" s="16"/>
      <c r="L416" s="16"/>
      <c r="AS416"/>
      <c r="AT416"/>
      <c r="AU416"/>
      <c r="AV416"/>
      <c r="AW416"/>
      <c r="AX416"/>
    </row>
    <row r="417" spans="1:50">
      <c r="A417"/>
      <c r="B417"/>
      <c r="C417"/>
      <c r="D417"/>
      <c r="E417"/>
      <c r="F417"/>
      <c r="G417" s="16"/>
      <c r="H417" s="16"/>
      <c r="I417" s="16"/>
      <c r="J417" s="16"/>
      <c r="K417" s="16"/>
      <c r="L417" s="16"/>
      <c r="AS417"/>
      <c r="AT417"/>
      <c r="AU417"/>
      <c r="AV417"/>
      <c r="AW417"/>
      <c r="AX417"/>
    </row>
    <row r="418" spans="1:50">
      <c r="A418"/>
      <c r="B418"/>
      <c r="C418"/>
      <c r="D418"/>
      <c r="E418"/>
      <c r="F418"/>
      <c r="G418" s="16"/>
      <c r="H418" s="16"/>
      <c r="I418" s="16"/>
      <c r="J418" s="16"/>
      <c r="K418" s="16"/>
      <c r="L418" s="16"/>
      <c r="AS418"/>
      <c r="AT418"/>
      <c r="AU418"/>
      <c r="AV418"/>
      <c r="AW418"/>
      <c r="AX418"/>
    </row>
    <row r="419" spans="1:50">
      <c r="A419"/>
      <c r="B419"/>
      <c r="C419"/>
      <c r="D419"/>
      <c r="E419"/>
      <c r="F419"/>
      <c r="G419" s="16"/>
      <c r="H419" s="16"/>
      <c r="I419" s="16"/>
      <c r="J419" s="16"/>
      <c r="K419" s="16"/>
      <c r="L419" s="16"/>
      <c r="AS419"/>
      <c r="AT419"/>
      <c r="AU419"/>
      <c r="AV419"/>
      <c r="AW419"/>
      <c r="AX419"/>
    </row>
    <row r="420" spans="1:50">
      <c r="A420"/>
      <c r="B420"/>
      <c r="C420"/>
      <c r="D420"/>
      <c r="E420"/>
      <c r="F420"/>
      <c r="G420" s="16"/>
      <c r="H420" s="16"/>
      <c r="I420" s="16"/>
      <c r="J420" s="16"/>
      <c r="K420" s="16"/>
      <c r="L420" s="16"/>
      <c r="AS420"/>
      <c r="AT420"/>
      <c r="AU420"/>
      <c r="AV420"/>
      <c r="AW420"/>
      <c r="AX420"/>
    </row>
    <row r="421" spans="1:50">
      <c r="A421"/>
      <c r="B421"/>
      <c r="C421"/>
      <c r="D421"/>
      <c r="E421"/>
      <c r="F421"/>
      <c r="G421" s="16"/>
      <c r="H421" s="16"/>
      <c r="I421" s="16"/>
      <c r="J421" s="16"/>
      <c r="K421" s="16"/>
      <c r="L421" s="16"/>
      <c r="AS421"/>
      <c r="AT421"/>
      <c r="AU421"/>
      <c r="AV421"/>
      <c r="AW421"/>
      <c r="AX421"/>
    </row>
    <row r="422" spans="1:50">
      <c r="A422"/>
      <c r="B422"/>
      <c r="C422"/>
      <c r="D422"/>
      <c r="E422"/>
      <c r="F422"/>
      <c r="G422" s="16"/>
      <c r="H422" s="16"/>
      <c r="I422" s="16"/>
      <c r="J422" s="16"/>
      <c r="K422" s="16"/>
      <c r="L422" s="16"/>
      <c r="AS422"/>
      <c r="AT422"/>
      <c r="AU422"/>
      <c r="AV422"/>
      <c r="AW422"/>
      <c r="AX422"/>
    </row>
    <row r="423" spans="1:50">
      <c r="A423"/>
      <c r="B423"/>
      <c r="C423"/>
      <c r="D423"/>
      <c r="E423"/>
      <c r="F423"/>
      <c r="G423" s="16"/>
      <c r="H423" s="16"/>
      <c r="I423" s="16"/>
      <c r="J423" s="16"/>
      <c r="K423" s="16"/>
      <c r="L423" s="16"/>
      <c r="AS423"/>
      <c r="AT423"/>
      <c r="AU423"/>
      <c r="AV423"/>
      <c r="AW423"/>
      <c r="AX423"/>
    </row>
    <row r="424" spans="1:50">
      <c r="A424"/>
      <c r="B424"/>
      <c r="C424"/>
      <c r="D424"/>
      <c r="E424"/>
      <c r="F424"/>
      <c r="G424" s="16"/>
      <c r="H424" s="16"/>
      <c r="I424" s="16"/>
      <c r="J424" s="16"/>
      <c r="K424" s="16"/>
      <c r="L424" s="16"/>
      <c r="AS424"/>
      <c r="AT424"/>
      <c r="AU424"/>
      <c r="AV424"/>
      <c r="AW424"/>
      <c r="AX424"/>
    </row>
    <row r="425" spans="1:50">
      <c r="A425"/>
      <c r="B425"/>
      <c r="C425"/>
      <c r="D425"/>
      <c r="E425"/>
      <c r="F425"/>
      <c r="G425" s="16"/>
      <c r="H425" s="16"/>
      <c r="I425" s="16"/>
      <c r="J425" s="16"/>
      <c r="K425" s="16"/>
      <c r="L425" s="16"/>
      <c r="AS425"/>
      <c r="AT425"/>
      <c r="AU425"/>
      <c r="AV425"/>
      <c r="AW425"/>
      <c r="AX425"/>
    </row>
    <row r="426" spans="1:50">
      <c r="A426"/>
      <c r="B426"/>
      <c r="C426"/>
      <c r="D426"/>
      <c r="E426"/>
      <c r="F426"/>
      <c r="G426" s="16"/>
      <c r="H426" s="16"/>
      <c r="I426" s="16"/>
      <c r="J426" s="16"/>
      <c r="K426" s="16"/>
      <c r="L426" s="16"/>
      <c r="AS426"/>
      <c r="AT426"/>
      <c r="AU426"/>
      <c r="AV426"/>
      <c r="AW426"/>
      <c r="AX426"/>
    </row>
    <row r="427" spans="1:50">
      <c r="A427"/>
      <c r="B427"/>
      <c r="C427"/>
      <c r="D427"/>
      <c r="E427"/>
      <c r="F427"/>
      <c r="G427" s="16"/>
      <c r="H427" s="16"/>
      <c r="I427" s="16"/>
      <c r="J427" s="16"/>
      <c r="K427" s="16"/>
      <c r="L427" s="16"/>
      <c r="AS427"/>
      <c r="AT427"/>
      <c r="AU427"/>
      <c r="AV427"/>
      <c r="AW427"/>
      <c r="AX427"/>
    </row>
    <row r="428" spans="1:50">
      <c r="A428"/>
      <c r="B428"/>
      <c r="C428"/>
      <c r="D428"/>
      <c r="E428"/>
      <c r="F428"/>
      <c r="G428" s="16"/>
      <c r="H428" s="16"/>
      <c r="I428" s="16"/>
      <c r="J428" s="16"/>
      <c r="K428" s="16"/>
      <c r="L428" s="16"/>
      <c r="AS428"/>
      <c r="AT428"/>
      <c r="AU428"/>
      <c r="AV428"/>
      <c r="AW428"/>
      <c r="AX428"/>
    </row>
    <row r="429" spans="1:50">
      <c r="A429"/>
      <c r="B429"/>
      <c r="C429"/>
      <c r="D429"/>
      <c r="E429"/>
      <c r="F429"/>
      <c r="G429" s="16"/>
      <c r="H429" s="16"/>
      <c r="I429" s="16"/>
      <c r="J429" s="16"/>
      <c r="K429" s="16"/>
      <c r="L429" s="16"/>
      <c r="AS429"/>
      <c r="AT429"/>
      <c r="AU429"/>
      <c r="AV429"/>
      <c r="AW429"/>
      <c r="AX429"/>
    </row>
    <row r="430" spans="1:50">
      <c r="A430"/>
      <c r="B430"/>
      <c r="C430"/>
      <c r="D430"/>
      <c r="E430"/>
      <c r="F430"/>
      <c r="G430" s="16"/>
      <c r="H430" s="16"/>
      <c r="I430" s="16"/>
      <c r="J430" s="16"/>
      <c r="K430" s="16"/>
      <c r="L430" s="16"/>
      <c r="AS430"/>
      <c r="AT430"/>
      <c r="AU430"/>
      <c r="AV430"/>
      <c r="AW430"/>
      <c r="AX430"/>
    </row>
    <row r="431" spans="1:50">
      <c r="A431"/>
      <c r="B431"/>
      <c r="C431"/>
      <c r="D431"/>
      <c r="E431"/>
      <c r="F431"/>
      <c r="G431" s="16"/>
      <c r="H431" s="16"/>
      <c r="I431" s="16"/>
      <c r="J431" s="16"/>
      <c r="K431" s="16"/>
      <c r="L431" s="16"/>
      <c r="AS431"/>
      <c r="AT431"/>
      <c r="AU431"/>
      <c r="AV431"/>
      <c r="AW431"/>
      <c r="AX431"/>
    </row>
    <row r="432" spans="1:50">
      <c r="A432"/>
      <c r="B432"/>
      <c r="C432"/>
      <c r="D432"/>
      <c r="E432"/>
      <c r="F432"/>
      <c r="G432" s="16"/>
      <c r="H432" s="16"/>
      <c r="I432" s="16"/>
      <c r="J432" s="16"/>
      <c r="K432" s="16"/>
      <c r="L432" s="16"/>
      <c r="AS432"/>
      <c r="AT432"/>
      <c r="AU432"/>
      <c r="AV432"/>
      <c r="AW432"/>
      <c r="AX432"/>
    </row>
    <row r="433" spans="1:50">
      <c r="A433"/>
      <c r="B433"/>
      <c r="C433"/>
      <c r="D433"/>
      <c r="E433"/>
      <c r="F433"/>
      <c r="G433" s="16"/>
      <c r="H433" s="16"/>
      <c r="I433" s="16"/>
      <c r="J433" s="16"/>
      <c r="K433" s="16"/>
      <c r="L433" s="16"/>
      <c r="AS433"/>
      <c r="AT433"/>
      <c r="AU433"/>
      <c r="AV433"/>
      <c r="AW433"/>
      <c r="AX433"/>
    </row>
    <row r="434" spans="1:50">
      <c r="A434"/>
      <c r="B434"/>
      <c r="C434"/>
      <c r="D434"/>
      <c r="E434"/>
      <c r="F434"/>
      <c r="G434" s="16"/>
      <c r="H434" s="16"/>
      <c r="I434" s="16"/>
      <c r="J434" s="16"/>
      <c r="K434" s="16"/>
      <c r="L434" s="16"/>
      <c r="AS434"/>
      <c r="AT434"/>
      <c r="AU434"/>
      <c r="AV434"/>
      <c r="AW434"/>
      <c r="AX434"/>
    </row>
    <row r="435" spans="1:50">
      <c r="A435"/>
      <c r="B435"/>
      <c r="C435"/>
      <c r="D435"/>
      <c r="E435"/>
      <c r="F435"/>
      <c r="G435" s="16"/>
      <c r="H435" s="16"/>
      <c r="I435" s="16"/>
      <c r="J435" s="16"/>
      <c r="K435" s="16"/>
      <c r="L435" s="16"/>
      <c r="AS435"/>
      <c r="AT435"/>
      <c r="AU435"/>
      <c r="AV435"/>
      <c r="AW435"/>
      <c r="AX435"/>
    </row>
    <row r="436" spans="1:50">
      <c r="A436"/>
      <c r="B436"/>
      <c r="C436"/>
      <c r="D436"/>
      <c r="E436"/>
      <c r="F436"/>
      <c r="G436" s="16"/>
      <c r="H436" s="16"/>
      <c r="I436" s="16"/>
      <c r="J436" s="16"/>
      <c r="K436" s="16"/>
      <c r="L436" s="16"/>
      <c r="AS436"/>
      <c r="AT436"/>
      <c r="AU436"/>
      <c r="AV436"/>
      <c r="AW436"/>
      <c r="AX436"/>
    </row>
    <row r="437" spans="1:50">
      <c r="A437"/>
      <c r="B437"/>
      <c r="C437"/>
      <c r="D437"/>
      <c r="E437"/>
      <c r="F437"/>
      <c r="G437" s="16"/>
      <c r="H437" s="16"/>
      <c r="I437" s="16"/>
      <c r="J437" s="16"/>
      <c r="K437" s="16"/>
      <c r="L437" s="16"/>
      <c r="AS437"/>
      <c r="AT437"/>
      <c r="AU437"/>
      <c r="AV437"/>
      <c r="AW437"/>
      <c r="AX437"/>
    </row>
    <row r="438" spans="1:50">
      <c r="A438"/>
      <c r="B438"/>
      <c r="C438"/>
      <c r="D438"/>
      <c r="E438"/>
      <c r="F438"/>
      <c r="G438" s="16"/>
      <c r="H438" s="16"/>
      <c r="I438" s="16"/>
      <c r="J438" s="16"/>
      <c r="K438" s="16"/>
      <c r="L438" s="16"/>
      <c r="AS438"/>
      <c r="AT438"/>
      <c r="AU438"/>
      <c r="AV438"/>
      <c r="AW438"/>
      <c r="AX438"/>
    </row>
    <row r="439" spans="1:50">
      <c r="A439"/>
      <c r="B439"/>
      <c r="C439"/>
      <c r="D439"/>
      <c r="E439"/>
      <c r="F439"/>
      <c r="G439" s="16"/>
      <c r="H439" s="16"/>
      <c r="I439" s="16"/>
      <c r="J439" s="16"/>
      <c r="K439" s="16"/>
      <c r="L439" s="16"/>
      <c r="AS439"/>
      <c r="AT439"/>
      <c r="AU439"/>
      <c r="AV439"/>
      <c r="AW439"/>
      <c r="AX439"/>
    </row>
    <row r="440" spans="1:50">
      <c r="A440"/>
      <c r="B440"/>
      <c r="C440"/>
      <c r="D440"/>
      <c r="E440"/>
      <c r="F440"/>
      <c r="G440" s="16"/>
      <c r="H440" s="16"/>
      <c r="I440" s="16"/>
      <c r="J440" s="16"/>
      <c r="K440" s="16"/>
      <c r="L440" s="16"/>
      <c r="AS440"/>
      <c r="AT440"/>
      <c r="AU440"/>
      <c r="AV440"/>
      <c r="AW440"/>
      <c r="AX440"/>
    </row>
    <row r="441" spans="1:50">
      <c r="A441"/>
      <c r="B441"/>
      <c r="C441"/>
      <c r="D441"/>
      <c r="E441"/>
      <c r="F441"/>
      <c r="G441" s="16"/>
      <c r="H441" s="16"/>
      <c r="I441" s="16"/>
      <c r="J441" s="16"/>
      <c r="K441" s="16"/>
      <c r="L441" s="16"/>
      <c r="AS441"/>
      <c r="AT441"/>
      <c r="AU441"/>
      <c r="AV441"/>
      <c r="AW441"/>
      <c r="AX441"/>
    </row>
    <row r="442" spans="1:50">
      <c r="A442"/>
      <c r="B442"/>
      <c r="C442"/>
      <c r="D442"/>
      <c r="E442"/>
      <c r="F442"/>
      <c r="G442" s="16"/>
      <c r="H442" s="16"/>
      <c r="I442" s="16"/>
      <c r="J442" s="16"/>
      <c r="K442" s="16"/>
      <c r="L442" s="16"/>
      <c r="AS442"/>
      <c r="AT442"/>
      <c r="AU442"/>
      <c r="AV442"/>
      <c r="AW442"/>
      <c r="AX442"/>
    </row>
    <row r="443" spans="1:50">
      <c r="A443"/>
      <c r="B443"/>
      <c r="C443"/>
      <c r="D443"/>
      <c r="E443"/>
      <c r="F443"/>
      <c r="G443" s="16"/>
      <c r="H443" s="16"/>
      <c r="I443" s="16"/>
      <c r="J443" s="16"/>
      <c r="K443" s="16"/>
      <c r="L443" s="16"/>
      <c r="AS443"/>
      <c r="AT443"/>
      <c r="AU443"/>
      <c r="AV443"/>
      <c r="AW443"/>
      <c r="AX443"/>
    </row>
    <row r="444" spans="1:50">
      <c r="A444"/>
      <c r="B444"/>
      <c r="C444"/>
      <c r="D444"/>
      <c r="E444"/>
      <c r="F444"/>
      <c r="G444" s="16"/>
      <c r="H444" s="16"/>
      <c r="I444" s="16"/>
      <c r="J444" s="16"/>
      <c r="K444" s="16"/>
      <c r="L444" s="16"/>
      <c r="AS444"/>
      <c r="AT444"/>
      <c r="AU444"/>
      <c r="AV444"/>
      <c r="AW444"/>
      <c r="AX444"/>
    </row>
    <row r="445" spans="1:50">
      <c r="A445"/>
      <c r="B445"/>
      <c r="C445"/>
      <c r="D445"/>
      <c r="E445"/>
      <c r="F445"/>
      <c r="G445" s="16"/>
      <c r="H445" s="16"/>
      <c r="I445" s="16"/>
      <c r="J445" s="16"/>
      <c r="K445" s="16"/>
      <c r="L445" s="16"/>
      <c r="AS445"/>
      <c r="AT445"/>
      <c r="AU445"/>
      <c r="AV445"/>
      <c r="AW445"/>
      <c r="AX445"/>
    </row>
    <row r="446" spans="1:50">
      <c r="A446"/>
      <c r="B446"/>
      <c r="C446"/>
      <c r="D446"/>
      <c r="E446"/>
      <c r="F446"/>
      <c r="G446" s="16"/>
      <c r="H446" s="16"/>
      <c r="I446" s="16"/>
      <c r="J446" s="16"/>
      <c r="K446" s="16"/>
      <c r="L446" s="16"/>
      <c r="AS446"/>
      <c r="AT446"/>
      <c r="AU446"/>
      <c r="AV446"/>
      <c r="AW446"/>
      <c r="AX446"/>
    </row>
    <row r="447" spans="1:50">
      <c r="A447"/>
      <c r="B447"/>
      <c r="C447"/>
      <c r="D447"/>
      <c r="E447"/>
      <c r="F447"/>
      <c r="G447" s="16"/>
      <c r="H447" s="16"/>
      <c r="I447" s="16"/>
      <c r="J447" s="16"/>
      <c r="K447" s="16"/>
      <c r="L447" s="16"/>
      <c r="AS447"/>
      <c r="AT447"/>
      <c r="AU447"/>
      <c r="AV447"/>
      <c r="AW447"/>
      <c r="AX447"/>
    </row>
    <row r="448" spans="1:50">
      <c r="A448"/>
      <c r="B448"/>
      <c r="C448"/>
      <c r="D448"/>
      <c r="E448"/>
      <c r="F448"/>
      <c r="G448" s="16"/>
      <c r="H448" s="16"/>
      <c r="I448" s="16"/>
      <c r="J448" s="16"/>
      <c r="K448" s="16"/>
      <c r="L448" s="16"/>
      <c r="AS448"/>
      <c r="AT448"/>
      <c r="AU448"/>
      <c r="AV448"/>
      <c r="AW448"/>
      <c r="AX448"/>
    </row>
    <row r="449" spans="1:50">
      <c r="A449"/>
      <c r="B449"/>
      <c r="C449"/>
      <c r="D449"/>
      <c r="E449"/>
      <c r="F449"/>
      <c r="G449" s="16"/>
      <c r="H449" s="16"/>
      <c r="I449" s="16"/>
      <c r="J449" s="16"/>
      <c r="K449" s="16"/>
      <c r="L449" s="16"/>
      <c r="AS449"/>
      <c r="AT449"/>
      <c r="AU449"/>
      <c r="AV449"/>
      <c r="AW449"/>
      <c r="AX449"/>
    </row>
    <row r="450" spans="1:50">
      <c r="A450"/>
      <c r="B450"/>
      <c r="C450"/>
      <c r="D450"/>
      <c r="E450"/>
      <c r="F450"/>
      <c r="G450" s="16"/>
      <c r="H450" s="16"/>
      <c r="I450" s="16"/>
      <c r="J450" s="16"/>
      <c r="K450" s="16"/>
      <c r="L450" s="16"/>
      <c r="AS450"/>
      <c r="AT450"/>
      <c r="AU450"/>
      <c r="AV450"/>
      <c r="AW450"/>
      <c r="AX450"/>
    </row>
    <row r="451" spans="1:50">
      <c r="A451"/>
      <c r="B451"/>
      <c r="C451"/>
      <c r="D451"/>
      <c r="E451"/>
      <c r="F451"/>
      <c r="G451" s="16"/>
      <c r="H451" s="16"/>
      <c r="I451" s="16"/>
      <c r="J451" s="16"/>
      <c r="K451" s="16"/>
      <c r="L451" s="16"/>
      <c r="AS451"/>
      <c r="AT451"/>
      <c r="AU451"/>
      <c r="AV451"/>
      <c r="AW451"/>
      <c r="AX451"/>
    </row>
    <row r="452" spans="1:50">
      <c r="A452"/>
      <c r="B452"/>
      <c r="C452"/>
      <c r="D452"/>
      <c r="E452"/>
      <c r="F452"/>
      <c r="G452" s="16"/>
      <c r="H452" s="16"/>
      <c r="I452" s="16"/>
      <c r="J452" s="16"/>
      <c r="K452" s="16"/>
      <c r="L452" s="16"/>
      <c r="AS452"/>
      <c r="AT452"/>
      <c r="AU452"/>
      <c r="AV452"/>
      <c r="AW452"/>
      <c r="AX452"/>
    </row>
    <row r="453" spans="1:50">
      <c r="A453" s="19"/>
      <c r="B453" s="17"/>
      <c r="C453" s="12"/>
      <c r="D453" s="12"/>
      <c r="E453" s="12"/>
      <c r="F453" s="12"/>
    </row>
    <row r="454" spans="1:50">
      <c r="A454" s="19"/>
      <c r="B454" s="17"/>
      <c r="C454" s="12"/>
      <c r="D454" s="12"/>
      <c r="E454" s="12"/>
      <c r="F454" s="12"/>
    </row>
    <row r="455" spans="1:50">
      <c r="A455" s="19"/>
      <c r="B455" s="17"/>
      <c r="C455" s="12"/>
      <c r="D455" s="12"/>
      <c r="E455" s="12"/>
      <c r="F455" s="12"/>
    </row>
    <row r="456" spans="1:50">
      <c r="A456" s="19"/>
      <c r="B456" s="17"/>
      <c r="C456" s="12"/>
      <c r="D456" s="12"/>
      <c r="E456" s="12"/>
      <c r="F456" s="12"/>
    </row>
    <row r="457" spans="1:50">
      <c r="A457" s="19"/>
      <c r="B457" s="17"/>
      <c r="C457" s="12"/>
      <c r="D457" s="12"/>
      <c r="E457" s="12"/>
      <c r="F457" s="12"/>
    </row>
    <row r="458" spans="1:50">
      <c r="A458" s="19"/>
      <c r="B458" s="17"/>
      <c r="C458" s="12"/>
      <c r="D458" s="12"/>
      <c r="E458" s="12"/>
      <c r="F458" s="12"/>
    </row>
    <row r="459" spans="1:50">
      <c r="A459" s="19"/>
      <c r="B459" s="17"/>
      <c r="C459" s="12"/>
      <c r="D459" s="12"/>
      <c r="E459" s="12"/>
      <c r="F459" s="12"/>
    </row>
    <row r="460" spans="1:50">
      <c r="A460" s="19"/>
      <c r="B460" s="17"/>
      <c r="C460" s="12"/>
      <c r="D460" s="12"/>
      <c r="E460" s="12"/>
      <c r="F460" s="12"/>
    </row>
    <row r="461" spans="1:50">
      <c r="A461" s="19"/>
      <c r="B461" s="17"/>
      <c r="C461" s="12"/>
      <c r="D461" s="12"/>
      <c r="E461" s="12"/>
      <c r="F461" s="12"/>
    </row>
    <row r="462" spans="1:50">
      <c r="A462" s="19"/>
      <c r="B462" s="17"/>
      <c r="C462" s="12"/>
      <c r="D462" s="12"/>
      <c r="E462" s="12"/>
      <c r="F462" s="12"/>
    </row>
    <row r="463" spans="1:50">
      <c r="A463" s="19"/>
      <c r="B463" s="17"/>
      <c r="C463" s="12"/>
      <c r="D463" s="12"/>
      <c r="E463" s="12"/>
      <c r="F463" s="12"/>
    </row>
    <row r="464" spans="1:50">
      <c r="A464" s="19"/>
      <c r="B464" s="17"/>
      <c r="C464" s="12"/>
      <c r="D464" s="12"/>
      <c r="E464" s="12"/>
      <c r="F464" s="12"/>
    </row>
    <row r="465" spans="1:50">
      <c r="A465" s="19"/>
      <c r="B465" s="17"/>
      <c r="C465" s="12"/>
      <c r="D465" s="12"/>
      <c r="E465" s="12"/>
      <c r="F465" s="12"/>
    </row>
    <row r="466" spans="1:50" s="56" customFormat="1">
      <c r="A466" s="52"/>
      <c r="B466" s="55"/>
      <c r="C466" s="52"/>
      <c r="D466" s="52"/>
      <c r="E466" s="52"/>
      <c r="F466" s="49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</row>
    <row r="467" spans="1:50">
      <c r="A467" s="19"/>
      <c r="B467" s="17"/>
      <c r="C467" s="19"/>
      <c r="D467" s="19"/>
      <c r="E467" s="19"/>
      <c r="F467" s="12"/>
    </row>
    <row r="468" spans="1:50">
      <c r="A468" s="19"/>
      <c r="B468" s="17"/>
      <c r="C468" s="19"/>
      <c r="D468" s="19"/>
      <c r="E468" s="19"/>
      <c r="F468" s="12"/>
    </row>
    <row r="469" spans="1:50">
      <c r="A469" s="19"/>
      <c r="B469" s="17"/>
      <c r="C469" s="12"/>
      <c r="D469" s="12"/>
      <c r="E469" s="12"/>
      <c r="F469" s="12"/>
    </row>
    <row r="470" spans="1:50">
      <c r="A470" s="12"/>
      <c r="B470" s="17"/>
      <c r="C470" s="12"/>
      <c r="D470" s="12"/>
      <c r="E470" s="12"/>
      <c r="F470" s="12"/>
    </row>
    <row r="471" spans="1:50">
      <c r="A471" s="12"/>
      <c r="B471" s="17"/>
      <c r="C471" s="12"/>
      <c r="D471" s="12"/>
      <c r="E471" s="12"/>
      <c r="F471" s="1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 Cycle Time Monitoring</vt:lpstr>
      <vt:lpstr>Effective Working Time</vt:lpstr>
      <vt:lpstr>Total Tape Length per Workweek</vt:lpstr>
      <vt:lpstr>4-March</vt:lpstr>
      <vt:lpstr>work week</vt:lpstr>
      <vt:lpstr>Sheet1</vt:lpstr>
      <vt:lpstr>Detail1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Romell Buenaventura</dc:creator>
  <cp:lastModifiedBy>FFJ IBAD</cp:lastModifiedBy>
  <dcterms:created xsi:type="dcterms:W3CDTF">2025-03-05T00:18:43Z</dcterms:created>
  <dcterms:modified xsi:type="dcterms:W3CDTF">2026-10-01T23:54:33Z</dcterms:modified>
</cp:coreProperties>
</file>